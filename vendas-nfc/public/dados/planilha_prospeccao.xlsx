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erça 27-10" sheetId="2" state="visible" r:id="rId2"/>
    <sheet xmlns:r="http://schemas.openxmlformats.org/officeDocument/2006/relationships" name="Quarta 28-10" sheetId="3" state="visible" r:id="rId3"/>
    <sheet xmlns:r="http://schemas.openxmlformats.org/officeDocument/2006/relationships" name="Quinta 29-10" sheetId="4" state="visible" r:id="rId4"/>
    <sheet xmlns:r="http://schemas.openxmlformats.org/officeDocument/2006/relationships" name="Reservas e Plano B" sheetId="5" state="visible" r:id="rId5"/>
    <sheet xmlns:r="http://schemas.openxmlformats.org/officeDocument/2006/relationships" name="Transporte (Uber)" sheetId="6" state="visible" r:id="rId6"/>
    <sheet xmlns:r="http://schemas.openxmlformats.org/officeDocument/2006/relationships" name="Fo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Comercial+Carlos%2C+Av.+Sen.+Jos%C3%A9+Rodrigues+de+Morais+Neto%2C+2516%2C+Parque+Amaz%C3%B4nia%2C+Goi%C3%A2nia+-+GO" TargetMode="External" Id="rId1"/><Relationship Type="http://schemas.openxmlformats.org/officeDocument/2006/relationships/hyperlink" Target="https://www.google.com/maps/dir/?api=1&amp;origin=-16.739062%2C-49.275687&amp;destination=Comercial+Carlos%2C+Av.+Sen.+Jos%C3%A9+Rodrigues+de+Morais+Neto%2C+2516%2C+Parque+Amaz%C3%B4nia%2C+Goi%C3%A2nia+-+GO&amp;travelmode=walking" TargetMode="External" Id="rId2"/><Relationship Type="http://schemas.openxmlformats.org/officeDocument/2006/relationships/hyperlink" Target="https://www.google.com/maps/search/?api=1&amp;query=Agrobessa+Pet+Shop%2C+Av.+Alexandre+de+Morais%2C+Qd.+13%2C+Lt.+02E%2C+Parque+Amaz%C3%B4nia%2C+Goi%C3%A2nia+-+GO" TargetMode="External" Id="rId3"/><Relationship Type="http://schemas.openxmlformats.org/officeDocument/2006/relationships/hyperlink" Target="https://www.google.com/maps/dir/?api=1&amp;origin=Comercial+Carlos%2C+Av.+Sen.+Jos%C3%A9+Rodrigues+de+Morais+Neto%2C+2516%2C+Parque+Amaz%C3%B4nia%2C+Goi%C3%A2nia+-+GO&amp;destination=Agrobessa+Pet+Shop%2C+Av.+Alexandre+de+Morais%2C+Qd.+13%2C+Lt.+02E%2C+Parque+Amaz%C3%B4nia%2C+Goi%C3%A2nia+-+GO&amp;travelmode=walking" TargetMode="External" Id="rId4"/><Relationship Type="http://schemas.openxmlformats.org/officeDocument/2006/relationships/hyperlink" Target="https://www.google.com/maps/search/?api=1&amp;query=Odonto+Rassi%2C+Av.+Alexandre+de+Morais%2C+s%2Fn%2C+Qd.+13%2C+Lt.+04%2C+Parque+Amaz%C3%B4nia%2C+Goi%C3%A2nia+-+GO" TargetMode="External" Id="rId5"/><Relationship Type="http://schemas.openxmlformats.org/officeDocument/2006/relationships/hyperlink" Target="https://www.google.com/maps/dir/?api=1&amp;origin=Agrobessa+Pet+Shop%2C+Av.+Alexandre+de+Morais%2C+Qd.+13%2C+Lt.+02E%2C+Parque+Amaz%C3%B4nia%2C+Goi%C3%A2nia+-+GO&amp;destination=Odonto+Rassi%2C+Av.+Alexandre+de+Morais%2C+s%2Fn%2C+Qd.+13%2C+Lt.+04%2C+Parque+Amaz%C3%B4nia%2C+Goi%C3%A2nia+-+GO&amp;travelmode=walking" TargetMode="External" Id="rId6"/><Relationship Type="http://schemas.openxmlformats.org/officeDocument/2006/relationships/hyperlink" Target="https://www.google.com/maps/search/?api=1&amp;query=Francesinha+Esmalteria%2C+Av.+Alexandre+de+Morais%2C+Qd.+13%2C+Lt.+04%2C+Parque+Amaz%C3%B4nia%2C+Goi%C3%A2nia+-+GO" TargetMode="External" Id="rId7"/><Relationship Type="http://schemas.openxmlformats.org/officeDocument/2006/relationships/hyperlink" Target="https://www.google.com/maps/dir/?api=1&amp;origin=Odonto+Rassi%2C+Av.+Alexandre+de+Morais%2C+s%2Fn%2C+Qd.+13%2C+Lt.+04%2C+Parque+Amaz%C3%B4nia%2C+Goi%C3%A2nia+-+GO&amp;destination=Francesinha+Esmalteria%2C+Av.+Alexandre+de+Morais%2C+Qd.+13%2C+Lt.+04%2C+Parque+Amaz%C3%B4nia%2C+Goi%C3%A2nia+-+GO&amp;travelmode=walking" TargetMode="External" Id="rId8"/><Relationship Type="http://schemas.openxmlformats.org/officeDocument/2006/relationships/hyperlink" Target="https://www.google.com/maps/search/?api=1&amp;query=Pizzaria+e+Churrascaria+Dom+Richi%2C+Av.+Alexandre+de+Morais%2C+Qd.+9%2C+Lt.+7%2C+Parque+Amaz%C3%B4nia%2C+Goi%C3%A2nia+-+GO" TargetMode="External" Id="rId9"/><Relationship Type="http://schemas.openxmlformats.org/officeDocument/2006/relationships/hyperlink" Target="https://www.google.com/maps/dir/?api=1&amp;origin=Francesinha+Esmalteria%2C+Av.+Alexandre+de+Morais%2C+Qd.+13%2C+Lt.+04%2C+Parque+Amaz%C3%B4nia%2C+Goi%C3%A2nia+-+GO&amp;destination=Pizzaria+e+Churrascaria+Dom+Richi%2C+Av.+Alexandre+de+Morais%2C+Qd.+9%2C+Lt.+7%2C+Parque+Amaz%C3%B4nia%2C+Goi%C3%A2nia+-+GO&amp;travelmode=walking" TargetMode="External" Id="rId10"/><Relationship Type="http://schemas.openxmlformats.org/officeDocument/2006/relationships/hyperlink" Target="https://www.google.com/maps/search/?api=1&amp;query=Prime+Beauty+Lounge+62%2C+Av.+Laguna%2C+239%2C+Qd.+15%2C+Lt.+01%2C+Sala+02%2C+Parque+Amaz%C3%B4nia%2C+Goi%C3%A2nia+-+GO" TargetMode="External" Id="rId11"/><Relationship Type="http://schemas.openxmlformats.org/officeDocument/2006/relationships/hyperlink" Target="https://www.google.com/maps/dir/?api=1&amp;origin=Pizzaria+e+Churrascaria+Dom+Richi%2C+Av.+Alexandre+de+Morais%2C+Qd.+9%2C+Lt.+7%2C+Parque+Amaz%C3%B4nia%2C+Goi%C3%A2nia+-+GO&amp;destination=Prime+Beauty+Lounge+62%2C+Av.+Laguna%2C+239%2C+Qd.+15%2C+Lt.+01%2C+Sala+02%2C+Parque+Amaz%C3%B4nia%2C+Goi%C3%A2nia+-+GO&amp;travelmode=walking" TargetMode="External" Id="rId12"/><Relationship Type="http://schemas.openxmlformats.org/officeDocument/2006/relationships/hyperlink" Target="https://www.google.com/maps/search/?api=1&amp;query=Mr.+Key%2C+Av.+Alexandre+de+Morais%2C+Qd.+77%2C+Lt.+01%2C+CEP+74840-300%2C+Parque+Amaz%C3%B4nia%2C+Goi%C3%A2nia+-+GO" TargetMode="External" Id="rId13"/><Relationship Type="http://schemas.openxmlformats.org/officeDocument/2006/relationships/hyperlink" Target="https://www.google.com/maps/dir/?api=1&amp;origin=Prime+Beauty+Lounge+62%2C+Av.+Laguna%2C+239%2C+Qd.+15%2C+Lt.+01%2C+Sala+02%2C+Parque+Amaz%C3%B4nia%2C+Goi%C3%A2nia+-+GO&amp;destination=Mr.+Key%2C+Av.+Alexandre+de+Morais%2C+Qd.+77%2C+Lt.+01%2C+CEP+74840-300%2C+Parque+Amaz%C3%B4nia%2C+Goi%C3%A2nia+-+GO&amp;travelmode=walking" TargetMode="External" Id="rId14"/><Relationship Type="http://schemas.openxmlformats.org/officeDocument/2006/relationships/hyperlink" Target="https://www.google.com/maps/search/?api=1&amp;query=Cachos+Brasil+Goi%C3%A2nia%2C+Av.+Alexandre+de+Morais%2C+n%C2%BA+04%2C+Qd.+77%2C+Parque+Amaz%C3%B4nia%2C+Goi%C3%A2nia+-+GO" TargetMode="External" Id="rId15"/><Relationship Type="http://schemas.openxmlformats.org/officeDocument/2006/relationships/hyperlink" Target="https://www.google.com/maps/dir/?api=1&amp;origin=Mr.+Key%2C+Av.+Alexandre+de+Morais%2C+Qd.+77%2C+Lt.+01%2C+CEP+74840-300%2C+Parque+Amaz%C3%B4nia%2C+Goi%C3%A2nia+-+GO&amp;destination=Cachos+Brasil+Goi%C3%A2nia%2C+Av.+Alexandre+de+Morais%2C+n%C2%BA+04%2C+Qd.+77%2C+Parque+Amaz%C3%B4nia%2C+Goi%C3%A2nia+-+GO&amp;travelmode=walking" TargetMode="External" Id="rId16"/><Relationship Type="http://schemas.openxmlformats.org/officeDocument/2006/relationships/hyperlink" Target="https://www.google.com/maps/search/?api=1&amp;query=Vintage+Barbearia+Pub%2C+Av.+Alexandre+de+Morais%2C+n%C2%BA+1806%2C+Qd.+06%2C+Lt.+10%2C+Sala+1%2C+Parque+Amaz%C3%B4nia%2C+Goi%C3%A2nia+-+GO" TargetMode="External" Id="rId17"/><Relationship Type="http://schemas.openxmlformats.org/officeDocument/2006/relationships/hyperlink" Target="https://www.google.com/maps/dir/?api=1&amp;origin=Cachos+Brasil+Goi%C3%A2nia%2C+Av.+Alexandre+de+Morais%2C+n%C2%BA+04%2C+Qd.+77%2C+Parque+Amaz%C3%B4nia%2C+Goi%C3%A2nia+-+GO&amp;destination=Vintage+Barbearia+Pub%2C+Av.+Alexandre+de+Morais%2C+n%C2%BA+1806%2C+Qd.+06%2C+Lt.+10%2C+Sala+1%2C+Parque+Amaz%C3%B4nia%2C+Goi%C3%A2nia+-+GO&amp;travelmode=walking" TargetMode="External" Id="rId18"/><Relationship Type="http://schemas.openxmlformats.org/officeDocument/2006/relationships/hyperlink" Target="https://www.google.com/maps/search/?api=1&amp;query=Donna+Bella+Cabelo+e+Est%C3%A9tica%2C+Av.+Alexandre+de+Morais%2C+n%C2%BA+1814%2C+Qd.+06%2C+Lt.+08%2F09%2C+Sala+04%2C+Parque+Amaz%C3%B4nia%2C+Goi%C3%A2nia+-+GO" TargetMode="External" Id="rId19"/><Relationship Type="http://schemas.openxmlformats.org/officeDocument/2006/relationships/hyperlink" Target="https://www.google.com/maps/dir/?api=1&amp;origin=Vintage+Barbearia+Pub%2C+Av.+Alexandre+de+Morais%2C+n%C2%BA+1806%2C+Qd.+06%2C+Lt.+10%2C+Sala+1%2C+Parque+Amaz%C3%B4nia%2C+Goi%C3%A2nia+-+GO&amp;destination=Donna+Bella+Cabelo+e+Est%C3%A9tica%2C+Av.+Alexandre+de+Morais%2C+n%C2%BA+1814%2C+Qd.+06%2C+Lt.+08%2F09%2C+Sala+04%2C+Parque+Amaz%C3%B4nia%2C+Goi%C3%A2nia+-+GO&amp;travelmode=walking" TargetMode="External" Id="rId20"/><Relationship Type="http://schemas.openxmlformats.org/officeDocument/2006/relationships/hyperlink" Target="https://www.google.com/maps/search/?api=1&amp;query=Novo+Visual+Cabeleireiros%2C+Rua+Uirapuru%2C+Qd.+6%2C+Lt.+15%2C+Parque+Amaz%C3%B4nia%2C+Goi%C3%A2nia+-+GO" TargetMode="External" Id="rId21"/><Relationship Type="http://schemas.openxmlformats.org/officeDocument/2006/relationships/hyperlink" Target="https://www.google.com/maps/dir/?api=1&amp;origin=Donna+Bella+Cabelo+e+Est%C3%A9tica%2C+Av.+Alexandre+de+Morais%2C+n%C2%BA+1814%2C+Qd.+06%2C+Lt.+08%2F09%2C+Sala+04%2C+Parque+Amaz%C3%B4nia%2C+Goi%C3%A2nia+-+GO&amp;destination=Novo+Visual+Cabeleireiros%2C+Rua+Uirapuru%2C+Qd.+6%2C+Lt.+15%2C+Parque+Amaz%C3%B4nia%2C+Goi%C3%A2nia+-+GO&amp;travelmode=walking" TargetMode="External" Id="rId22"/><Relationship Type="http://schemas.openxmlformats.org/officeDocument/2006/relationships/hyperlink" Target="https://www.google.com/maps/search/?api=1&amp;query=New+Car+Lanternagem+e+Pintura%2C+Av.+Rio+Verde%2C+Parque+Amaz%C3%B4nia%2C+Goi%C3%A2nia+-+GO" TargetMode="External" Id="rId23"/><Relationship Type="http://schemas.openxmlformats.org/officeDocument/2006/relationships/hyperlink" Target="https://www.google.com/maps/dir/?api=1&amp;origin=Novo+Visual+Cabeleireiros%2C+Rua+Uirapuru%2C+Qd.+6%2C+Lt.+15%2C+Parque+Amaz%C3%B4nia%2C+Goi%C3%A2nia+-+GO&amp;destination=New+Car+Lanternagem+e+Pintura%2C+Av.+Rio+Verde%2C+Parque+Amaz%C3%B4nia%2C+Goi%C3%A2nia+-+GO&amp;travelmode=walking" TargetMode="External" Id="rId24"/><Relationship Type="http://schemas.openxmlformats.org/officeDocument/2006/relationships/hyperlink" Target="https://www.google.com/maps/search/?api=1&amp;query=Odonto+Prime%2C+Av.+Xingu%2C+398%2C+Parque+Amaz%C3%B4nia%2C+Goi%C3%A2nia+-+GO" TargetMode="External" Id="rId25"/><Relationship Type="http://schemas.openxmlformats.org/officeDocument/2006/relationships/hyperlink" Target="https://www.google.com/maps/dir/?api=1&amp;origin=New+Car+Lanternagem+e+Pintura%2C+Av.+Rio+Verde%2C+Parque+Amaz%C3%B4nia%2C+Goi%C3%A2nia+-+GO&amp;destination=Odonto+Prime%2C+Av.+Xingu%2C+398%2C+Parque+Amaz%C3%B4nia%2C+Goi%C3%A2nia+-+GO&amp;travelmode=walking" TargetMode="External" Id="rId26"/><Relationship Type="http://schemas.openxmlformats.org/officeDocument/2006/relationships/hyperlink" Target="https://www.google.com/maps/search/?api=1&amp;query=P%C3%A3o+S%C3%ADrio+Said%2C+Rua+Taguari%2C+199%2C+Qd.+81%2C+Lt.+10%2C+Parque+Amaz%C3%B4nia%2C+Goi%C3%A2nia+-+GO" TargetMode="External" Id="rId27"/><Relationship Type="http://schemas.openxmlformats.org/officeDocument/2006/relationships/hyperlink" Target="https://www.google.com/maps/dir/?api=1&amp;origin=Odonto+Prime%2C+Av.+Xingu%2C+398%2C+Parque+Amaz%C3%B4nia%2C+Goi%C3%A2nia+-+GO&amp;destination=P%C3%A3o+S%C3%ADrio+Said%2C+Rua+Taguari%2C+199%2C+Qd.+81%2C+Lt.+10%2C+Parque+Amaz%C3%B4nia%2C+Goi%C3%A2nia+-+GO&amp;travelmode=walking" TargetMode="External" Id="rId28"/><Relationship Type="http://schemas.openxmlformats.org/officeDocument/2006/relationships/hyperlink" Target="https://www.google.com/maps/search/?api=1&amp;query=Ch%C3%A9rie+Boutique+e+Pet+Shop%2C+Av.+Rio+Negro%2C+505%2C+Qd.+156%2C+Lt.+11%2C+Parque+Amaz%C3%B4nia%2C+Goi%C3%A2nia+-+GO" TargetMode="External" Id="rId29"/><Relationship Type="http://schemas.openxmlformats.org/officeDocument/2006/relationships/hyperlink" Target="https://www.google.com/maps/dir/?api=1&amp;origin=P%C3%A3o+S%C3%ADrio+Said%2C+Rua+Taguari%2C+199%2C+Qd.+81%2C+Lt.+10%2C+Parque+Amaz%C3%B4nia%2C+Goi%C3%A2nia+-+GO&amp;destination=Ch%C3%A9rie+Boutique+e+Pet+Shop%2C+Av.+Rio+Negro%2C+505%2C+Qd.+156%2C+Lt.+11%2C+Parque+Amaz%C3%B4nia%2C+Goi%C3%A2nia+-+GO&amp;travelmode=walking" TargetMode="External" Id="rId30"/><Relationship Type="http://schemas.openxmlformats.org/officeDocument/2006/relationships/hyperlink" Target="https://www.google.com/maps/search/?api=1&amp;query=Brump+Moda+Feminina%2C+Av.+Rio+Negro%2C+682%2C+Parque+Amaz%C3%B4nia%2C+Goi%C3%A2nia+-+GO" TargetMode="External" Id="rId31"/><Relationship Type="http://schemas.openxmlformats.org/officeDocument/2006/relationships/hyperlink" Target="https://www.google.com/maps/dir/?api=1&amp;origin=Ch%C3%A9rie+Boutique+e+Pet+Shop%2C+Av.+Rio+Negro%2C+505%2C+Qd.+156%2C+Lt.+11%2C+Parque+Amaz%C3%B4nia%2C+Goi%C3%A2nia+-+GO&amp;destination=Brump+Moda+Feminina%2C+Av.+Rio+Negro%2C+682%2C+Parque+Amaz%C3%B4nia%2C+Goi%C3%A2nia+-+GO&amp;travelmode=walking" TargetMode="External" Id="rId32"/><Relationship Type="http://schemas.openxmlformats.org/officeDocument/2006/relationships/hyperlink" Target="https://www.google.com/maps/search/?api=1&amp;query=Bicho+Legal+Cl%C3%ADnica+Veterin%C3%A1ria+%26+Petshop%2C+Av.+Rio+Negro%2C+730%2C+CEP+74840-520%2C+Parque+Amaz%C3%B4nia%2C+Goi%C3%A2nia+-+GO" TargetMode="External" Id="rId33"/><Relationship Type="http://schemas.openxmlformats.org/officeDocument/2006/relationships/hyperlink" Target="https://www.google.com/maps/dir/?api=1&amp;origin=Brump+Moda+Feminina%2C+Av.+Rio+Negro%2C+682%2C+Parque+Amaz%C3%B4nia%2C+Goi%C3%A2nia+-+GO&amp;destination=Bicho+Legal+Cl%C3%ADnica+Veterin%C3%A1ria+%26+Petshop%2C+Av.+Rio+Negro%2C+730%2C+CEP+74840-520%2C+Parque+Amaz%C3%B4nia%2C+Goi%C3%A2nia+-+GO&amp;travelmode=walking" TargetMode="External" Id="rId34"/><Relationship Type="http://schemas.openxmlformats.org/officeDocument/2006/relationships/hyperlink" Target="https://www.google.com/maps/search/?api=1&amp;query=Anexo+VIP+Barber%2C+Av.+Rio+Negro%2C+755%2C+Parque+Amaz%C3%B4nia%2C+Goi%C3%A2nia+-+GO" TargetMode="External" Id="rId35"/><Relationship Type="http://schemas.openxmlformats.org/officeDocument/2006/relationships/hyperlink" Target="https://www.google.com/maps/dir/?api=1&amp;origin=Bicho+Legal+Cl%C3%ADnica+Veterin%C3%A1ria+%26+Petshop%2C+Av.+Rio+Negro%2C+730%2C+CEP+74840-520%2C+Parque+Amaz%C3%B4nia%2C+Goi%C3%A2nia+-+GO&amp;destination=Anexo+VIP+Barber%2C+Av.+Rio+Negro%2C+755%2C+Parque+Amaz%C3%B4nia%2C+Goi%C3%A2nia+-+GO&amp;travelmode=walking" TargetMode="External" Id="rId36"/><Relationship Type="http://schemas.openxmlformats.org/officeDocument/2006/relationships/hyperlink" Target="https://www.google.com/maps/search/?api=1&amp;query=Guzz+Barbearia%2C+Rua+Igap%C3%B3%2C+Parque+Amaz%C3%B4nia%2C+Goi%C3%A2nia+-+GO" TargetMode="External" Id="rId37"/><Relationship Type="http://schemas.openxmlformats.org/officeDocument/2006/relationships/hyperlink" Target="https://www.google.com/maps/dir/?api=1&amp;origin=Anexo+VIP+Barber%2C+Av.+Rio+Negro%2C+755%2C+Parque+Amaz%C3%B4nia%2C+Goi%C3%A2nia+-+GO&amp;destination=Guzz+Barbearia%2C+Rua+Igap%C3%B3%2C+Parque+Amaz%C3%B4nia%2C+Goi%C3%A2nia+-+GO&amp;travelmode=walking" TargetMode="External" Id="rId38"/><Relationship Type="http://schemas.openxmlformats.org/officeDocument/2006/relationships/hyperlink" Target="https://www.google.com/maps/search/?api=1&amp;query=Murdock+Steakhouse%2C+Av.+Alexandre+de+Morais%2C+CEP+74840-240%2C+Parque+Amaz%C3%B4nia%2C+Goi%C3%A2nia+-+GO" TargetMode="External" Id="rId39"/><Relationship Type="http://schemas.openxmlformats.org/officeDocument/2006/relationships/hyperlink" Target="https://www.google.com/maps/dir/?api=1&amp;origin=Guzz+Barbearia%2C+Rua+Igap%C3%B3%2C+Parque+Amaz%C3%B4nia%2C+Goi%C3%A2nia+-+GO&amp;destination=Murdock+Steakhouse%2C+Av.+Alexandre+de+Morais%2C+CEP+74840-240%2C+Parque+Amaz%C3%B4nia%2C+Goi%C3%A2nia+-+GO&amp;travelmode=walking" TargetMode="External" Id="rId40"/><Relationship Type="http://schemas.openxmlformats.org/officeDocument/2006/relationships/hyperlink" Target="https://www.google.com/maps/search/?api=1&amp;query=Bar+e+Restaurante+Arpoador%2C+Av.+Alexandre+de+Morais%2C+n%C2%BA+1396%2C+Parque+Amaz%C3%B4nia%2C+Goi%C3%A2nia+-+GO" TargetMode="External" Id="rId41"/><Relationship Type="http://schemas.openxmlformats.org/officeDocument/2006/relationships/hyperlink" Target="https://www.google.com/maps/dir/?api=1&amp;origin=Murdock+Steakhouse%2C+Av.+Alexandre+de+Morais%2C+CEP+74840-240%2C+Parque+Amaz%C3%B4nia%2C+Goi%C3%A2nia+-+GO&amp;destination=Bar+e+Restaurante+Arpoador%2C+Av.+Alexandre+de+Morais%2C+n%C2%BA+1396%2C+Parque+Amaz%C3%B4nia%2C+Goi%C3%A2nia+-+GO&amp;travelmode=walking" TargetMode="External" Id="rId42"/><Relationship Type="http://schemas.openxmlformats.org/officeDocument/2006/relationships/hyperlink" Target="https://www.google.com/maps/search/?api=1&amp;query=D%27Esfihas+Parque+Amaz%C3%B4nia%2C+Av.+Alexandre+de+Morais%2C+n%C2%BA+1493%2C+Qd.+26%2C+Lt.+01%2C+CEP+74840-160%2C+Parque+Amaz%C3%B4nia%2C+Goi%C3%A2nia+-+GO" TargetMode="External" Id="rId43"/><Relationship Type="http://schemas.openxmlformats.org/officeDocument/2006/relationships/hyperlink" Target="https://www.google.com/maps/dir/?api=1&amp;origin=Bar+e+Restaurante+Arpoador%2C+Av.+Alexandre+de+Morais%2C+n%C2%BA+1396%2C+Parque+Amaz%C3%B4nia%2C+Goi%C3%A2nia+-+GO&amp;destination=D%27Esfihas+Parque+Amaz%C3%B4nia%2C+Av.+Alexandre+de+Morais%2C+n%C2%BA+1493%2C+Qd.+26%2C+Lt.+01%2C+CEP+74840-160%2C+Parque+Amaz%C3%B4nia%2C+Goi%C3%A2nia+-+GO&amp;travelmode=walking" TargetMode="External" Id="rId44"/><Relationship Type="http://schemas.openxmlformats.org/officeDocument/2006/relationships/hyperlink" Target="https://www.google.com/maps/search/?api=1&amp;query=Cazzero+Burger%2C+Av.+Alexandre+de+Morais%2C+n%C2%BA+1667%2C+Qd.+28%2C+Lt.+3%2C+Parque+Amaz%C3%B4nia%2C+Goi%C3%A2nia+-+GO" TargetMode="External" Id="rId45"/><Relationship Type="http://schemas.openxmlformats.org/officeDocument/2006/relationships/hyperlink" Target="https://www.google.com/maps/dir/?api=1&amp;origin=D%27Esfihas+Parque+Amaz%C3%B4nia%2C+Av.+Alexandre+de+Morais%2C+n%C2%BA+1493%2C+Qd.+26%2C+Lt.+01%2C+CEP+74840-160%2C+Parque+Amaz%C3%B4nia%2C+Goi%C3%A2nia+-+GO&amp;destination=Cazzero+Burger%2C+Av.+Alexandre+de+Morais%2C+n%C2%BA+1667%2C+Qd.+28%2C+Lt.+3%2C+Parque+Amaz%C3%B4nia%2C+Goi%C3%A2nia+-+GO&amp;travelmode=walking" TargetMode="External" Id="rId46"/><Relationship Type="http://schemas.openxmlformats.org/officeDocument/2006/relationships/hyperlink" Target="https://www.google.com/maps/search/?api=1&amp;query=MChicken+Parque+Amaz%C3%B4nia%2C+Av.+Alexandre+de+Morais%2C+n%C2%BA+1864%2C+esq.+Alameda+Imb%C3%A9%2C+Qd.+06%2C+Lt.+08%2C+Parque+Amaz%C3%B4nia%2C+Goi%C3%A2nia+-+GO" TargetMode="External" Id="rId47"/><Relationship Type="http://schemas.openxmlformats.org/officeDocument/2006/relationships/hyperlink" Target="https://www.google.com/maps/dir/?api=1&amp;origin=Cazzero+Burger%2C+Av.+Alexandre+de+Morais%2C+n%C2%BA+1667%2C+Qd.+28%2C+Lt.+3%2C+Parque+Amaz%C3%B4nia%2C+Goi%C3%A2nia+-+GO&amp;destination=MChicken+Parque+Amaz%C3%B4nia%2C+Av.+Alexandre+de+Morais%2C+n%C2%BA+1864%2C+esq.+Alameda+Imb%C3%A9%2C+Qd.+06%2C+Lt.+08%2C+Parque+Amaz%C3%B4nia%2C+Goi%C3%A2nia+-+GO&amp;travelmode=walking" TargetMode="External" Id="rId48"/><Relationship Type="http://schemas.openxmlformats.org/officeDocument/2006/relationships/hyperlink" Target="https://www.google.com/maps/search/?api=1&amp;query=Blends+Burger+Artesanal%2C+Alameda+Imb%C3%A9%2C+Qd.+30%2C+Lt.+06%2C+Parque+Amaz%C3%B4nia%2C+Goi%C3%A2nia+-+GO" TargetMode="External" Id="rId49"/><Relationship Type="http://schemas.openxmlformats.org/officeDocument/2006/relationships/hyperlink" Target="https://www.google.com/maps/dir/?api=1&amp;origin=MChicken+Parque+Amaz%C3%B4nia%2C+Av.+Alexandre+de+Morais%2C+n%C2%BA+1864%2C+esq.+Alameda+Imb%C3%A9%2C+Qd.+06%2C+Lt.+08%2C+Parque+Amaz%C3%B4nia%2C+Goi%C3%A2nia+-+GO&amp;destination=Blends+Burger+Artesanal%2C+Alameda+Imb%C3%A9%2C+Qd.+30%2C+Lt.+06%2C+Parque+Amaz%C3%B4nia%2C+Goi%C3%A2nia+-+GO&amp;travelmode=walking" TargetMode="External" Id="rId50"/><Relationship Type="http://schemas.openxmlformats.org/officeDocument/2006/relationships/hyperlink" Target="https://www.google.com/maps/search/?api=1&amp;query=Sakata%2C+Av.+Alexandre+de+Morais%2C+Qd.+6%2C+Lt.+10%2C+Parque+Amaz%C3%B4nia%2C+Goi%C3%A2nia+-+GO" TargetMode="External" Id="rId51"/><Relationship Type="http://schemas.openxmlformats.org/officeDocument/2006/relationships/hyperlink" Target="https://www.google.com/maps/dir/?api=1&amp;origin=Blends+Burger+Artesanal%2C+Alameda+Imb%C3%A9%2C+Qd.+30%2C+Lt.+06%2C+Parque+Amaz%C3%B4nia%2C+Goi%C3%A2nia+-+GO&amp;destination=Sakata%2C+Av.+Alexandre+de+Morais%2C+Qd.+6%2C+Lt.+10%2C+Parque+Amaz%C3%B4nia%2C+Goi%C3%A2nia+-+GO&amp;travelmode=walking" TargetMode="External" Id="rId52"/><Relationship Type="http://schemas.openxmlformats.org/officeDocument/2006/relationships/hyperlink" Target="https://www.google.com/maps/search/?api=1&amp;query=DG+Burger+Parque+Amaz%C3%B4nia%2C+Av.+Rio+Verde%2C+Qd.+5%2C+Lt.+7%2C+CEP+74840-150%2C+Parque+Amaz%C3%B4nia%2C+Goi%C3%A2nia+-+GO" TargetMode="External" Id="rId53"/><Relationship Type="http://schemas.openxmlformats.org/officeDocument/2006/relationships/hyperlink" Target="https://www.google.com/maps/dir/?api=1&amp;origin=Sakata%2C+Av.+Alexandre+de+Morais%2C+Qd.+6%2C+Lt.+10%2C+Parque+Amaz%C3%B4nia%2C+Goi%C3%A2nia+-+GO&amp;destination=DG+Burger+Parque+Amaz%C3%B4nia%2C+Av.+Rio+Verde%2C+Qd.+5%2C+Lt.+7%2C+CEP+74840-150%2C+Parque+Amaz%C3%B4nia%2C+Goi%C3%A2nia+-+GO&amp;travelmode=walking" TargetMode="External" Id="rId54"/><Relationship Type="http://schemas.openxmlformats.org/officeDocument/2006/relationships/hyperlink" Target="https://www.google.com/maps/search/?api=1&amp;query=Pizzaria+Emp%C3%B3rio+da+Pizza+%E2%80%93+Parque+Amaz%C3%B4nia%2C+Av.+Rio+Verde%2C+1020%2C+Parque+Amaz%C3%B4nia%2C+Goi%C3%A2nia+-+GO" TargetMode="External" Id="rId55"/><Relationship Type="http://schemas.openxmlformats.org/officeDocument/2006/relationships/hyperlink" Target="https://www.google.com/maps/dir/?api=1&amp;origin=DG+Burger+Parque+Amaz%C3%B4nia%2C+Av.+Rio+Verde%2C+Qd.+5%2C+Lt.+7%2C+CEP+74840-150%2C+Parque+Amaz%C3%B4nia%2C+Goi%C3%A2nia+-+GO&amp;destination=Pizzaria+Emp%C3%B3rio+da+Pizza+%E2%80%93+Parque+Amaz%C3%B4nia%2C+Av.+Rio+Verde%2C+1020%2C+Parque+Amaz%C3%B4nia%2C+Goi%C3%A2nia+-+GO&amp;travelmode=walking" TargetMode="External" Id="rId5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Automec%C3%A2nica+Dibraz%2C+Av.+Feira+de+Santana%2C+904%2C+Qd.+159%2C+Lt.+8%2C+Parque+Amaz%C3%B4nia%2C+Goi%C3%A2nia+-+GO" TargetMode="External" Id="rId1"/><Relationship Type="http://schemas.openxmlformats.org/officeDocument/2006/relationships/hyperlink" Target="https://www.google.com/maps/dir/?api=1&amp;origin=-16.739062%2C-49.275687&amp;destination=Automec%C3%A2nica+Dibraz%2C+Av.+Feira+de+Santana%2C+904%2C+Qd.+159%2C+Lt.+8%2C+Parque+Amaz%C3%B4nia%2C+Goi%C3%A2nia+-+GO&amp;travelmode=walking" TargetMode="External" Id="rId2"/><Relationship Type="http://schemas.openxmlformats.org/officeDocument/2006/relationships/hyperlink" Target="https://www.google.com/maps/search/?api=1&amp;query=Daynn%C3%A1+Martins+Moda+Crist%C3%A3%2C+Rua+Belo+Horizonte%2C+Qd.+159%2C+Lt.+18%2C+CEP+74843-100%2C+Parque+Amaz%C3%B4nia%2C+Goi%C3%A2nia+-+GO" TargetMode="External" Id="rId3"/><Relationship Type="http://schemas.openxmlformats.org/officeDocument/2006/relationships/hyperlink" Target="https://www.google.com/maps/dir/?api=1&amp;origin=Automec%C3%A2nica+Dibraz%2C+Av.+Feira+de+Santana%2C+904%2C+Qd.+159%2C+Lt.+8%2C+Parque+Amaz%C3%B4nia%2C+Goi%C3%A2nia+-+GO&amp;destination=Daynn%C3%A1+Martins+Moda+Crist%C3%A3%2C+Rua+Belo+Horizonte%2C+Qd.+159%2C+Lt.+18%2C+CEP+74843-100%2C+Parque+Amaz%C3%B4nia%2C+Goi%C3%A2nia+-+GO&amp;travelmode=walking" TargetMode="External" Id="rId4"/><Relationship Type="http://schemas.openxmlformats.org/officeDocument/2006/relationships/hyperlink" Target="https://www.google.com/maps/search/?api=1&amp;query=Sar%C3%A7a+Restaurante%2C+Av.+Jos%C3%A9+Rodrigues+de+Morais+Neto%2C+Qd.+157%2C+Lt.+1%2C+Parque+Amaz%C3%B4nia%2C+Goi%C3%A2nia+-+GO" TargetMode="External" Id="rId5"/><Relationship Type="http://schemas.openxmlformats.org/officeDocument/2006/relationships/hyperlink" Target="https://www.google.com/maps/dir/?api=1&amp;origin=Daynn%C3%A1+Martins+Moda+Crist%C3%A3%2C+Rua+Belo+Horizonte%2C+Qd.+159%2C+Lt.+18%2C+CEP+74843-100%2C+Parque+Amaz%C3%B4nia%2C+Goi%C3%A2nia+-+GO&amp;destination=Sar%C3%A7a+Restaurante%2C+Av.+Jos%C3%A9+Rodrigues+de+Morais+Neto%2C+Qd.+157%2C+Lt.+1%2C+Parque+Amaz%C3%B4nia%2C+Goi%C3%A2nia+-+GO&amp;travelmode=walking" TargetMode="External" Id="rId6"/><Relationship Type="http://schemas.openxmlformats.org/officeDocument/2006/relationships/hyperlink" Target="https://www.google.com/maps/search/?api=1&amp;query=Loja+Gontijo%2C+Pra%C3%A7a+Sen.+Jos%C3%A9+Rodrigues+de+Morais+Neto%2C+108%2C+Parque+Amaz%C3%B4nia%2C+Goi%C3%A2nia+-+GO" TargetMode="External" Id="rId7"/><Relationship Type="http://schemas.openxmlformats.org/officeDocument/2006/relationships/hyperlink" Target="https://www.google.com/maps/dir/?api=1&amp;origin=Sar%C3%A7a+Restaurante%2C+Av.+Jos%C3%A9+Rodrigues+de+Morais+Neto%2C+Qd.+157%2C+Lt.+1%2C+Parque+Amaz%C3%B4nia%2C+Goi%C3%A2nia+-+GO&amp;destination=Loja+Gontijo%2C+Pra%C3%A7a+Sen.+Jos%C3%A9+Rodrigues+de+Morais+Neto%2C+108%2C+Parque+Amaz%C3%B4nia%2C+Goi%C3%A2nia+-+GO&amp;travelmode=walking" TargetMode="External" Id="rId8"/><Relationship Type="http://schemas.openxmlformats.org/officeDocument/2006/relationships/hyperlink" Target="https://www.google.com/maps/search/?api=1&amp;query=Zero62ois+Burguer+%26+A%C3%A7a%C3%AD%2C+Pra%C3%A7a+Sen.+Jos%C3%A9+Rodrigues+de+Morais%2C+Parque+Amaz%C3%B4nia%2C+Goi%C3%A2nia+-+GO" TargetMode="External" Id="rId9"/><Relationship Type="http://schemas.openxmlformats.org/officeDocument/2006/relationships/hyperlink" Target="https://www.google.com/maps/dir/?api=1&amp;origin=Loja+Gontijo%2C+Pra%C3%A7a+Sen.+Jos%C3%A9+Rodrigues+de+Morais+Neto%2C+108%2C+Parque+Amaz%C3%B4nia%2C+Goi%C3%A2nia+-+GO&amp;destination=Zero62ois+Burguer+%26+A%C3%A7a%C3%AD%2C+Pra%C3%A7a+Sen.+Jos%C3%A9+Rodrigues+de+Morais%2C+Parque+Amaz%C3%B4nia%2C+Goi%C3%A2nia+-+GO&amp;travelmode=walking" TargetMode="External" Id="rId10"/><Relationship Type="http://schemas.openxmlformats.org/officeDocument/2006/relationships/hyperlink" Target="https://www.google.com/maps/search/?api=1&amp;query=Mundo+dos+Bichos+Cl%C3%ADnica+Veterin%C3%A1ria+e+Pet+Shop%2C+Av.+Sen.+Jos%C3%A9+Rodrigues+de+Morais+Neto%2C+1843%2C+Qd.+165%2C+Lt.+02%2C+CEP+74835-620%2C+Parque+Amaz%C3%B4nia%2C+Goi%C3%A2nia+-+GO" TargetMode="External" Id="rId11"/><Relationship Type="http://schemas.openxmlformats.org/officeDocument/2006/relationships/hyperlink" Target="https://www.google.com/maps/dir/?api=1&amp;origin=Zero62ois+Burguer+%26+A%C3%A7a%C3%AD%2C+Pra%C3%A7a+Sen.+Jos%C3%A9+Rodrigues+de+Morais%2C+Parque+Amaz%C3%B4nia%2C+Goi%C3%A2nia+-+GO&amp;destination=Mundo+dos+Bichos+Cl%C3%ADnica+Veterin%C3%A1ria+e+Pet+Shop%2C+Av.+Sen.+Jos%C3%A9+Rodrigues+de+Morais+Neto%2C+1843%2C+Qd.+165%2C+Lt.+02%2C+CEP+74835-620%2C+Parque+Amaz%C3%B4nia%2C+Goi%C3%A2nia+-+GO&amp;travelmode=walking" TargetMode="External" Id="rId12"/><Relationship Type="http://schemas.openxmlformats.org/officeDocument/2006/relationships/hyperlink" Target="https://www.google.com/maps/search/?api=1&amp;query=E.V.S.+Sal%C3%A3o+de+Beleza+Hair+and+Make-Up%2C+Av.+Jos%C3%A9+Rodrigues+de+Morais+Neto%2C+1784%2C+Qd.+171%2C+Lt.+32%2C+Sala+02%2C+CEP+74835-310%2C+Parque+Amaz%C3%B4nia%2C+Goi%C3%A2nia+-+GO" TargetMode="External" Id="rId13"/><Relationship Type="http://schemas.openxmlformats.org/officeDocument/2006/relationships/hyperlink" Target="https://www.google.com/maps/dir/?api=1&amp;origin=Mundo+dos+Bichos+Cl%C3%ADnica+Veterin%C3%A1ria+e+Pet+Shop%2C+Av.+Sen.+Jos%C3%A9+Rodrigues+de+Morais+Neto%2C+1843%2C+Qd.+165%2C+Lt.+02%2C+CEP+74835-620%2C+Parque+Amaz%C3%B4nia%2C+Goi%C3%A2nia+-+GO&amp;destination=E.V.S.+Sal%C3%A3o+de+Beleza+Hair+and+Make-Up%2C+Av.+Jos%C3%A9+Rodrigues+de+Morais+Neto%2C+1784%2C+Qd.+171%2C+Lt.+32%2C+Sala+02%2C+CEP+74835-310%2C+Parque+Amaz%C3%B4nia%2C+Goi%C3%A2nia+-+GO&amp;travelmode=walking" TargetMode="External" Id="rId14"/><Relationship Type="http://schemas.openxmlformats.org/officeDocument/2006/relationships/hyperlink" Target="https://www.google.com/maps/search/?api=1&amp;query=R+%26+C+Hair%2C+Av.+Jos%C3%A9+Rodrigues+de+Morais+Neto%2C+Qd.+171%2C+Lt.+32%2C+Parque+Amaz%C3%B4nia%2C+Goi%C3%A2nia+-+GO" TargetMode="External" Id="rId15"/><Relationship Type="http://schemas.openxmlformats.org/officeDocument/2006/relationships/hyperlink" Target="https://www.google.com/maps/dir/?api=1&amp;origin=E.V.S.+Sal%C3%A3o+de+Beleza+Hair+and+Make-Up%2C+Av.+Jos%C3%A9+Rodrigues+de+Morais+Neto%2C+1784%2C+Qd.+171%2C+Lt.+32%2C+Sala+02%2C+CEP+74835-310%2C+Parque+Amaz%C3%B4nia%2C+Goi%C3%A2nia+-+GO&amp;destination=R+%26+C+Hair%2C+Av.+Jos%C3%A9+Rodrigues+de+Morais+Neto%2C+Qd.+171%2C+Lt.+32%2C+Parque+Amaz%C3%B4nia%2C+Goi%C3%A2nia+-+GO&amp;travelmode=walking" TargetMode="External" Id="rId16"/><Relationship Type="http://schemas.openxmlformats.org/officeDocument/2006/relationships/hyperlink" Target="https://www.google.com/maps/search/?api=1&amp;query=Renaissance+Inez+Cabeleireiros%2C+Rua+Anhang%C3%A1%2C+Qd.+171%2C+Lt.+30%2C+Parque+Amaz%C3%B4nia%2C+Goi%C3%A2nia+-+GO" TargetMode="External" Id="rId17"/><Relationship Type="http://schemas.openxmlformats.org/officeDocument/2006/relationships/hyperlink" Target="https://www.google.com/maps/dir/?api=1&amp;origin=R+%26+C+Hair%2C+Av.+Jos%C3%A9+Rodrigues+de+Morais+Neto%2C+Qd.+171%2C+Lt.+32%2C+Parque+Amaz%C3%B4nia%2C+Goi%C3%A2nia+-+GO&amp;destination=Renaissance+Inez+Cabeleireiros%2C+Rua+Anhang%C3%A1%2C+Qd.+171%2C+Lt.+30%2C+Parque+Amaz%C3%B4nia%2C+Goi%C3%A2nia+-+GO&amp;travelmode=walking" TargetMode="External" Id="rId18"/><Relationship Type="http://schemas.openxmlformats.org/officeDocument/2006/relationships/hyperlink" Target="https://www.google.com/maps/search/?api=1&amp;query=Elcione+Cabeleireiros%2C+Av.+Jos%C3%A9+Rodrigues+de+Morais+Neto%2C+Qd.+198%2C+Lt.+6%2C+Parque+Amaz%C3%B4nia%2C+Goi%C3%A2nia+-+GO" TargetMode="External" Id="rId19"/><Relationship Type="http://schemas.openxmlformats.org/officeDocument/2006/relationships/hyperlink" Target="https://www.google.com/maps/dir/?api=1&amp;origin=Renaissance+Inez+Cabeleireiros%2C+Rua+Anhang%C3%A1%2C+Qd.+171%2C+Lt.+30%2C+Parque+Amaz%C3%B4nia%2C+Goi%C3%A2nia+-+GO&amp;destination=Elcione+Cabeleireiros%2C+Av.+Jos%C3%A9+Rodrigues+de+Morais+Neto%2C+Qd.+198%2C+Lt.+6%2C+Parque+Amaz%C3%B4nia%2C+Goi%C3%A2nia+-+GO&amp;travelmode=walking" TargetMode="External" Id="rId20"/><Relationship Type="http://schemas.openxmlformats.org/officeDocument/2006/relationships/hyperlink" Target="https://www.google.com/maps/search/?api=1&amp;query=Athos+Academia%2C+Rua+Tambuqui%2C+721%2C+Parque+Amaz%C3%B4nia%2C+Goi%C3%A2nia+-+GO" TargetMode="External" Id="rId21"/><Relationship Type="http://schemas.openxmlformats.org/officeDocument/2006/relationships/hyperlink" Target="https://www.google.com/maps/dir/?api=1&amp;origin=Elcione+Cabeleireiros%2C+Av.+Jos%C3%A9+Rodrigues+de+Morais+Neto%2C+Qd.+198%2C+Lt.+6%2C+Parque+Amaz%C3%B4nia%2C+Goi%C3%A2nia+-+GO&amp;destination=Athos+Academia%2C+Rua+Tambuqui%2C+721%2C+Parque+Amaz%C3%B4nia%2C+Goi%C3%A2nia+-+GO&amp;travelmode=walking" TargetMode="External" Id="rId22"/><Relationship Type="http://schemas.openxmlformats.org/officeDocument/2006/relationships/hyperlink" Target="https://www.google.com/maps/search/?api=1&amp;query=Palazzo+Santana%2C+Rua+Tambuqui%2C+Qd.+201%2C+Parque+Amaz%C3%B4nia%2C+Goi%C3%A2nia+-+GO" TargetMode="External" Id="rId23"/><Relationship Type="http://schemas.openxmlformats.org/officeDocument/2006/relationships/hyperlink" Target="https://www.google.com/maps/dir/?api=1&amp;origin=Athos+Academia%2C+Rua+Tambuqui%2C+721%2C+Parque+Amaz%C3%B4nia%2C+Goi%C3%A2nia+-+GO&amp;destination=Palazzo+Santana%2C+Rua+Tambuqui%2C+Qd.+201%2C+Parque+Amaz%C3%B4nia%2C+Goi%C3%A2nia+-+GO&amp;travelmode=walking" TargetMode="External" Id="rId24"/><Relationship Type="http://schemas.openxmlformats.org/officeDocument/2006/relationships/hyperlink" Target="https://www.google.com/maps/search/?api=1&amp;query=Universo+Pet%2C+Av.+Dona+Terezinha+de+Morais%2C+41%2C+Qd.+195%2C+Lt.+21%2C+Parque+Amaz%C3%B4nia%2C+Goi%C3%A2nia+-+GO" TargetMode="External" Id="rId25"/><Relationship Type="http://schemas.openxmlformats.org/officeDocument/2006/relationships/hyperlink" Target="https://www.google.com/maps/dir/?api=1&amp;origin=Palazzo+Santana%2C+Rua+Tambuqui%2C+Qd.+201%2C+Parque+Amaz%C3%B4nia%2C+Goi%C3%A2nia+-+GO&amp;destination=Universo+Pet%2C+Av.+Dona+Terezinha+de+Morais%2C+41%2C+Qd.+195%2C+Lt.+21%2C+Parque+Amaz%C3%B4nia%2C+Goi%C3%A2nia+-+GO&amp;travelmode=walking" TargetMode="External" Id="rId26"/><Relationship Type="http://schemas.openxmlformats.org/officeDocument/2006/relationships/hyperlink" Target="https://www.google.com/maps/search/?api=1&amp;query=Mec%C3%A2nica+Beneton%2C+Av.+Dona+Terezinha+de+Morais%2C+Qd.+202%2C+Lt.+6%2C+Parque+Amaz%C3%B4nia%2C+Goi%C3%A2nia+-+GO" TargetMode="External" Id="rId27"/><Relationship Type="http://schemas.openxmlformats.org/officeDocument/2006/relationships/hyperlink" Target="https://www.google.com/maps/dir/?api=1&amp;origin=Universo+Pet%2C+Av.+Dona+Terezinha+de+Morais%2C+41%2C+Qd.+195%2C+Lt.+21%2C+Parque+Amaz%C3%B4nia%2C+Goi%C3%A2nia+-+GO&amp;destination=Mec%C3%A2nica+Beneton%2C+Av.+Dona+Terezinha+de+Morais%2C+Qd.+202%2C+Lt.+6%2C+Parque+Amaz%C3%B4nia%2C+Goi%C3%A2nia+-+GO&amp;travelmode=walking" TargetMode="External" Id="rId28"/><Relationship Type="http://schemas.openxmlformats.org/officeDocument/2006/relationships/hyperlink" Target="https://www.google.com/maps/search/?api=1&amp;query=Tio+Pizza%2C+Av.+Jos%C3%A9+Rodrigues+de+Morais+Neto%2C+1130%2C+Qd.+204%2C+Lt.+1+e+2%2C+Parque+Amaz%C3%B4nia%2C+Goi%C3%A2nia+-+GO" TargetMode="External" Id="rId29"/><Relationship Type="http://schemas.openxmlformats.org/officeDocument/2006/relationships/hyperlink" Target="https://www.google.com/maps/dir/?api=1&amp;origin=Mec%C3%A2nica+Beneton%2C+Av.+Dona+Terezinha+de+Morais%2C+Qd.+202%2C+Lt.+6%2C+Parque+Amaz%C3%B4nia%2C+Goi%C3%A2nia+-+GO&amp;destination=Tio+Pizza%2C+Av.+Jos%C3%A9+Rodrigues+de+Morais+Neto%2C+1130%2C+Qd.+204%2C+Lt.+1+e+2%2C+Parque+Amaz%C3%B4nia%2C+Goi%C3%A2nia+-+GO&amp;travelmode=walking" TargetMode="External" Id="rId30"/><Relationship Type="http://schemas.openxmlformats.org/officeDocument/2006/relationships/hyperlink" Target="https://www.google.com/maps/search/?api=1&amp;query=PLAY+Fitness%2C+Av.+Sen.+Jos%C3%A9+Rodrigues+de+Morais+Neto%2C+730%2C+Qd.+220%2C+Parque+Amaz%C3%B4nia%2C+Goi%C3%A2nia+-+GO" TargetMode="External" Id="rId31"/><Relationship Type="http://schemas.openxmlformats.org/officeDocument/2006/relationships/hyperlink" Target="https://www.google.com/maps/dir/?api=1&amp;origin=Tio+Pizza%2C+Av.+Jos%C3%A9+Rodrigues+de+Morais+Neto%2C+1130%2C+Qd.+204%2C+Lt.+1+e+2%2C+Parque+Amaz%C3%B4nia%2C+Goi%C3%A2nia+-+GO&amp;destination=PLAY+Fitness%2C+Av.+Sen.+Jos%C3%A9+Rodrigues+de+Morais+Neto%2C+730%2C+Qd.+220%2C+Parque+Amaz%C3%B4nia%2C+Goi%C3%A2nia+-+GO&amp;travelmode=walking" TargetMode="External" Id="rId32"/><Relationship Type="http://schemas.openxmlformats.org/officeDocument/2006/relationships/hyperlink" Target="https://www.google.com/maps/search/?api=1&amp;query=Mauri%27Car+Mec%C3%A2nica+R%C3%A1pida%2C+Av.+Jos%C3%A9+Rodrigues+de+Morais+Neto%2C+655%2C+Qd.+221%2C+Lt.+7%2C+Parque+Amaz%C3%B4nia%2C+Goi%C3%A2nia+-+GO" TargetMode="External" Id="rId33"/><Relationship Type="http://schemas.openxmlformats.org/officeDocument/2006/relationships/hyperlink" Target="https://www.google.com/maps/dir/?api=1&amp;origin=PLAY+Fitness%2C+Av.+Sen.+Jos%C3%A9+Rodrigues+de+Morais+Neto%2C+730%2C+Qd.+220%2C+Parque+Amaz%C3%B4nia%2C+Goi%C3%A2nia+-+GO&amp;destination=Mauri%27Car+Mec%C3%A2nica+R%C3%A1pida%2C+Av.+Jos%C3%A9+Rodrigues+de+Morais+Neto%2C+655%2C+Qd.+221%2C+Lt.+7%2C+Parque+Amaz%C3%B4nia%2C+Goi%C3%A2nia+-+GO&amp;travelmode=walking" TargetMode="External" Id="rId34"/><Relationship Type="http://schemas.openxmlformats.org/officeDocument/2006/relationships/hyperlink" Target="https://www.google.com/maps/search/?api=1&amp;query=Lilian+Restaurante%2C+Av.+Jos%C3%A9+Rodrigues+de+Morais+Neto%2C+Qd.+219%2C+Lt.+14%2C+Parque+Amaz%C3%B4nia%2C+Goi%C3%A2nia+-+GO" TargetMode="External" Id="rId35"/><Relationship Type="http://schemas.openxmlformats.org/officeDocument/2006/relationships/hyperlink" Target="https://www.google.com/maps/dir/?api=1&amp;origin=Mauri%27Car+Mec%C3%A2nica+R%C3%A1pida%2C+Av.+Jos%C3%A9+Rodrigues+de+Morais+Neto%2C+655%2C+Qd.+221%2C+Lt.+7%2C+Parque+Amaz%C3%B4nia%2C+Goi%C3%A2nia+-+GO&amp;destination=Lilian+Restaurante%2C+Av.+Jos%C3%A9+Rodrigues+de+Morais+Neto%2C+Qd.+219%2C+Lt.+14%2C+Parque+Amaz%C3%B4nia%2C+Goi%C3%A2nia+-+GO&amp;travelmode=walking" TargetMode="External" Id="rId36"/><Relationship Type="http://schemas.openxmlformats.org/officeDocument/2006/relationships/hyperlink" Target="https://www.google.com/maps/search/?api=1&amp;query=Go%21+Pet%2C+Rua+Santar%C3%A9m%2C+670%2C+Qd.+238%2C+Lt.+24%2C+Sala+01%2C+Parque+Amaz%C3%B4nia%2C+Goi%C3%A2nia+-+GO" TargetMode="External" Id="rId37"/><Relationship Type="http://schemas.openxmlformats.org/officeDocument/2006/relationships/hyperlink" Target="https://www.google.com/maps/dir/?api=1&amp;origin=Lilian+Restaurante%2C+Av.+Jos%C3%A9+Rodrigues+de+Morais+Neto%2C+Qd.+219%2C+Lt.+14%2C+Parque+Amaz%C3%B4nia%2C+Goi%C3%A2nia+-+GO&amp;destination=Go%21+Pet%2C+Rua+Santar%C3%A9m%2C+670%2C+Qd.+238%2C+Lt.+24%2C+Sala+01%2C+Parque+Amaz%C3%B4nia%2C+Goi%C3%A2nia+-+GO&amp;travelmode=walking" TargetMode="External" Id="rId38"/><Relationship Type="http://schemas.openxmlformats.org/officeDocument/2006/relationships/hyperlink" Target="https://www.google.com/maps/search/?api=1&amp;query=Panificadora+P%C3%A3es+e+Frios%2C+Rua+Santar%C3%A9m%2C+183%2C+Qd.+242%2C+Lt.+7%2C+Parque+Amaz%C3%B4nia%2C+Goi%C3%A2nia+-+GO" TargetMode="External" Id="rId39"/><Relationship Type="http://schemas.openxmlformats.org/officeDocument/2006/relationships/hyperlink" Target="https://www.google.com/maps/dir/?api=1&amp;origin=Go%21+Pet%2C+Rua+Santar%C3%A9m%2C+670%2C+Qd.+238%2C+Lt.+24%2C+Sala+01%2C+Parque+Amaz%C3%B4nia%2C+Goi%C3%A2nia+-+GO&amp;destination=Panificadora+P%C3%A3es+e+Frios%2C+Rua+Santar%C3%A9m%2C+183%2C+Qd.+242%2C+Lt.+7%2C+Parque+Amaz%C3%B4nia%2C+Goi%C3%A2nia+-+GO&amp;travelmode=walking" TargetMode="External" Id="rId40"/><Relationship Type="http://schemas.openxmlformats.org/officeDocument/2006/relationships/hyperlink" Target="https://www.google.com/maps/search/?api=1&amp;query=Tiburon+Restaurante%2C+Av.+Feira+de+Santana%2C+Qd.+248%2C+Lt.+26%2C+Parque+Amaz%C3%B4nia%2C+Goi%C3%A2nia+-+GO" TargetMode="External" Id="rId41"/><Relationship Type="http://schemas.openxmlformats.org/officeDocument/2006/relationships/hyperlink" Target="https://www.google.com/maps/dir/?api=1&amp;origin=Panificadora+P%C3%A3es+e+Frios%2C+Rua+Santar%C3%A9m%2C+183%2C+Qd.+242%2C+Lt.+7%2C+Parque+Amaz%C3%B4nia%2C+Goi%C3%A2nia+-+GO&amp;destination=Tiburon+Restaurante%2C+Av.+Feira+de+Santana%2C+Qd.+248%2C+Lt.+26%2C+Parque+Amaz%C3%B4nia%2C+Goi%C3%A2nia+-+GO&amp;travelmode=walking" TargetMode="External" Id="rId42"/><Relationship Type="http://schemas.openxmlformats.org/officeDocument/2006/relationships/hyperlink" Target="https://www.google.com/maps/search/?api=1&amp;query=Restaurante+Louren%C3%A7o%2C+Av.+T-15%2C+2152%2C+Qd.+250%2C+Lt.+21%2C+Parque+Amaz%C3%B4nia%2C+Goi%C3%A2nia+-+GO" TargetMode="External" Id="rId43"/><Relationship Type="http://schemas.openxmlformats.org/officeDocument/2006/relationships/hyperlink" Target="https://www.google.com/maps/dir/?api=1&amp;origin=Tiburon+Restaurante%2C+Av.+Feira+de+Santana%2C+Qd.+248%2C+Lt.+26%2C+Parque+Amaz%C3%B4nia%2C+Goi%C3%A2nia+-+GO&amp;destination=Restaurante+Louren%C3%A7o%2C+Av.+T-15%2C+2152%2C+Qd.+250%2C+Lt.+21%2C+Parque+Amaz%C3%B4nia%2C+Goi%C3%A2nia+-+GO&amp;travelmode=walking" TargetMode="External" Id="rId44"/><Relationship Type="http://schemas.openxmlformats.org/officeDocument/2006/relationships/hyperlink" Target="https://www.google.com/maps/search/?api=1&amp;query=Vicentt+Barbearia%2C+Av.+T-15%2C+2260%2C+Qd.+250%2C+Lt.+29%2C+Loja+02%2C+Parque+Amaz%C3%B4nia%2C+Goi%C3%A2nia+-+GO" TargetMode="External" Id="rId45"/><Relationship Type="http://schemas.openxmlformats.org/officeDocument/2006/relationships/hyperlink" Target="https://www.google.com/maps/dir/?api=1&amp;origin=Restaurante+Louren%C3%A7o%2C+Av.+T-15%2C+2152%2C+Qd.+250%2C+Lt.+21%2C+Parque+Amaz%C3%B4nia%2C+Goi%C3%A2nia+-+GO&amp;destination=Vicentt+Barbearia%2C+Av.+T-15%2C+2260%2C+Qd.+250%2C+Lt.+29%2C+Loja+02%2C+Parque+Amaz%C3%B4nia%2C+Goi%C3%A2nia+-+GO&amp;travelmode=walking" TargetMode="External" Id="rId46"/><Relationship Type="http://schemas.openxmlformats.org/officeDocument/2006/relationships/hyperlink" Target="https://www.google.com/maps/search/?api=1&amp;query=NAVI+Functional+Fitness%2C+Rua+dos+Bombeiros%2C+119%2C+Qd.+250%2C+Lt.+07%2C+Parque+Amaz%C3%B4nia%2C+Goi%C3%A2nia+-+GO" TargetMode="External" Id="rId47"/><Relationship Type="http://schemas.openxmlformats.org/officeDocument/2006/relationships/hyperlink" Target="https://www.google.com/maps/dir/?api=1&amp;origin=Vicentt+Barbearia%2C+Av.+T-15%2C+2260%2C+Qd.+250%2C+Lt.+29%2C+Loja+02%2C+Parque+Amaz%C3%B4nia%2C+Goi%C3%A2nia+-+GO&amp;destination=NAVI+Functional+Fitness%2C+Rua+dos+Bombeiros%2C+119%2C+Qd.+250%2C+Lt.+07%2C+Parque+Amaz%C3%B4nia%2C+Goi%C3%A2nia+-+GO&amp;travelmode=walking" TargetMode="External" Id="rId48"/><Relationship Type="http://schemas.openxmlformats.org/officeDocument/2006/relationships/hyperlink" Target="https://www.google.com/maps/search/?api=1&amp;query=Panobianco+Academia+%E2%80%93+Parque+Amaz%C3%B4nia%2C+Av.+Feira+de+Santana%2C+1550%2C+Parque+Amaz%C3%B4nia%2C+Goi%C3%A2nia+-+GO" TargetMode="External" Id="rId49"/><Relationship Type="http://schemas.openxmlformats.org/officeDocument/2006/relationships/hyperlink" Target="https://www.google.com/maps/dir/?api=1&amp;origin=NAVI+Functional+Fitness%2C+Rua+dos+Bombeiros%2C+119%2C+Qd.+250%2C+Lt.+07%2C+Parque+Amaz%C3%B4nia%2C+Goi%C3%A2nia+-+GO&amp;destination=Panobianco+Academia+%E2%80%93+Parque+Amaz%C3%B4nia%2C+Av.+Feira+de+Santana%2C+1550%2C+Parque+Amaz%C3%B4nia%2C+Goi%C3%A2nia+-+GO&amp;travelmode=walking" TargetMode="External" Id="rId50"/><Relationship Type="http://schemas.openxmlformats.org/officeDocument/2006/relationships/hyperlink" Target="https://www.google.com/maps/search/?api=1&amp;query=Odonto+Amazonas%2C+Av.+Feira+de+Santana%2C+1369%2C+Qd.+61%2C+Lt.+07%2C+Sala+04%2C+Parque+Amaz%C3%B4nia%2C+Goi%C3%A2nia+-+GO" TargetMode="External" Id="rId51"/><Relationship Type="http://schemas.openxmlformats.org/officeDocument/2006/relationships/hyperlink" Target="https://www.google.com/maps/dir/?api=1&amp;origin=Panobianco+Academia+%E2%80%93+Parque+Amaz%C3%B4nia%2C+Av.+Feira+de+Santana%2C+1550%2C+Parque+Amaz%C3%B4nia%2C+Goi%C3%A2nia+-+GO&amp;destination=Odonto+Amazonas%2C+Av.+Feira+de+Santana%2C+1369%2C+Qd.+61%2C+Lt.+07%2C+Sala+04%2C+Parque+Amaz%C3%B4nia%2C+Goi%C3%A2nia+-+GO&amp;travelmode=walking" TargetMode="External" Id="rId52"/><Relationship Type="http://schemas.openxmlformats.org/officeDocument/2006/relationships/hyperlink" Target="https://www.google.com/maps/search/?api=1&amp;query=Carpe+Diem+Studio+Pilates+e+CrossFit%2C+Rua+Caapi%2C+487%2C+Qd.+58%2C+Lt.+10%2C+Parque+Amaz%C3%B4nia%2C+Goi%C3%A2nia+-+GO" TargetMode="External" Id="rId53"/><Relationship Type="http://schemas.openxmlformats.org/officeDocument/2006/relationships/hyperlink" Target="https://www.google.com/maps/dir/?api=1&amp;origin=Odonto+Amazonas%2C+Av.+Feira+de+Santana%2C+1369%2C+Qd.+61%2C+Lt.+07%2C+Sala+04%2C+Parque+Amaz%C3%B4nia%2C+Goi%C3%A2nia+-+GO&amp;destination=Carpe+Diem+Studio+Pilates+e+CrossFit%2C+Rua+Caapi%2C+487%2C+Qd.+58%2C+Lt.+10%2C+Parque+Amaz%C3%B4nia%2C+Goi%C3%A2nia+-+GO&amp;travelmode=walking" TargetMode="External" Id="rId54"/><Relationship Type="http://schemas.openxmlformats.org/officeDocument/2006/relationships/hyperlink" Target="https://www.google.com/maps/search/?api=1&amp;query=Panificadora+Buriti%2C+Av.+Jos%C3%A9+Leandro+da+Cruz%2C+2093%2C+Qd.+50%2C+Lt.+11%2C+Sala+1%2C+Parque+Amaz%C3%B4nia%2C+Goi%C3%A2nia+-+GO" TargetMode="External" Id="rId55"/><Relationship Type="http://schemas.openxmlformats.org/officeDocument/2006/relationships/hyperlink" Target="https://www.google.com/maps/dir/?api=1&amp;origin=Carpe+Diem+Studio+Pilates+e+CrossFit%2C+Rua+Caapi%2C+487%2C+Qd.+58%2C+Lt.+10%2C+Parque+Amaz%C3%B4nia%2C+Goi%C3%A2nia+-+GO&amp;destination=Panificadora+Buriti%2C+Av.+Jos%C3%A9+Leandro+da+Cruz%2C+2093%2C+Qd.+50%2C+Lt.+11%2C+Sala+1%2C+Parque+Amaz%C3%B4nia%2C+Goi%C3%A2nia+-+GO&amp;travelmode=walking" TargetMode="External" Id="rId56"/><Relationship Type="http://schemas.openxmlformats.org/officeDocument/2006/relationships/hyperlink" Target="https://www.google.com/maps/search/?api=1&amp;query=Jantinhas+Grill%2C+Pra%C3%A7a+da+Feira%2C+Parque+Amaz%C3%B4nia%2C+Goi%C3%A2nia+-+GO" TargetMode="External" Id="rId57"/><Relationship Type="http://schemas.openxmlformats.org/officeDocument/2006/relationships/hyperlink" Target="https://www.google.com/maps/dir/?api=1&amp;origin=Panificadora+Buriti%2C+Av.+Jos%C3%A9+Leandro+da+Cruz%2C+2093%2C+Qd.+50%2C+Lt.+11%2C+Sala+1%2C+Parque+Amaz%C3%B4nia%2C+Goi%C3%A2nia+-+GO&amp;destination=Jantinhas+Grill%2C+Pra%C3%A7a+da+Feira%2C+Parque+Amaz%C3%B4nia%2C+Goi%C3%A2nia+-+GO&amp;travelmode=walking" TargetMode="External" Id="rId58"/><Relationship Type="http://schemas.openxmlformats.org/officeDocument/2006/relationships/hyperlink" Target="https://www.google.com/maps/search/?api=1&amp;query=Sanduicheria+Underground%2C+Av.+Jos%C3%A9+Rodrigues+de+Morais+Neto%2C+2040%2C+Qd.+157%2C+Lt.+01%2C+Parque+Amaz%C3%B4nia%2C+Goi%C3%A2nia+-+GO" TargetMode="External" Id="rId59"/><Relationship Type="http://schemas.openxmlformats.org/officeDocument/2006/relationships/hyperlink" Target="https://www.google.com/maps/dir/?api=1&amp;origin=Jantinhas+Grill%2C+Pra%C3%A7a+da+Feira%2C+Parque+Amaz%C3%B4nia%2C+Goi%C3%A2nia+-+GO&amp;destination=Sanduicheria+Underground%2C+Av.+Jos%C3%A9+Rodrigues+de+Morais+Neto%2C+2040%2C+Qd.+157%2C+Lt.+01%2C+Parque+Amaz%C3%B4nia%2C+Goi%C3%A2nia+-+GO&amp;travelmode=walking" TargetMode="External" Id="rId6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Terra+dos+Animais%2C+Av.+da+Igualdade%2C+100%2C+Setor+Garavelo%2C+Aparecida+de+Goi%C3%A2nia+-+GO" TargetMode="External" Id="rId1"/><Relationship Type="http://schemas.openxmlformats.org/officeDocument/2006/relationships/hyperlink" Target="https://www.google.com/maps/dir/?api=1&amp;origin=-16.739062%2C-49.275687&amp;destination=Terra+dos+Animais%2C+Av.+da+Igualdade%2C+100%2C+Setor+Garavelo%2C+Aparecida+de+Goi%C3%A2nia+-+GO&amp;travelmode=walking" TargetMode="External" Id="rId2"/><Relationship Type="http://schemas.openxmlformats.org/officeDocument/2006/relationships/hyperlink" Target="https://www.google.com/maps/search/?api=1&amp;query=Cria%C3%A7%C3%A3o+Produtos+Agropecu%C3%A1rios%2C+Av.+da+Igualdade%2C+100%2C+Lt.+19%2C+Sala+4%2C+Setor+Garavelo%2C+Aparecida+de+Goi%C3%A2nia+-+GO" TargetMode="External" Id="rId3"/><Relationship Type="http://schemas.openxmlformats.org/officeDocument/2006/relationships/hyperlink" Target="https://www.google.com/maps/dir/?api=1&amp;origin=Terra+dos+Animais%2C+Av.+da+Igualdade%2C+100%2C+Setor+Garavelo%2C+Aparecida+de+Goi%C3%A2nia+-+GO&amp;destination=Cria%C3%A7%C3%A3o+Produtos+Agropecu%C3%A1rios%2C+Av.+da+Igualdade%2C+100%2C+Lt.+19%2C+Sala+4%2C+Setor+Garavelo%2C+Aparecida+de+Goi%C3%A2nia+-+GO&amp;travelmode=walking" TargetMode="External" Id="rId4"/><Relationship Type="http://schemas.openxmlformats.org/officeDocument/2006/relationships/hyperlink" Target="https://www.google.com/maps/search/?api=1&amp;query=Sorridents+Garavelo%2C+Av.+da+Igualdade%2C+530%2C+Setor+Garavelo%2C+Aparecida+de+Goi%C3%A2nia+-+GO" TargetMode="External" Id="rId5"/><Relationship Type="http://schemas.openxmlformats.org/officeDocument/2006/relationships/hyperlink" Target="https://www.google.com/maps/dir/?api=1&amp;origin=Cria%C3%A7%C3%A3o+Produtos+Agropecu%C3%A1rios%2C+Av.+da+Igualdade%2C+100%2C+Lt.+19%2C+Sala+4%2C+Setor+Garavelo%2C+Aparecida+de+Goi%C3%A2nia+-+GO&amp;destination=Sorridents+Garavelo%2C+Av.+da+Igualdade%2C+530%2C+Setor+Garavelo%2C+Aparecida+de+Goi%C3%A2nia+-+GO&amp;travelmode=walking" TargetMode="External" Id="rId6"/><Relationship Type="http://schemas.openxmlformats.org/officeDocument/2006/relationships/hyperlink" Target="https://www.google.com/maps/search/?api=1&amp;query=Drogaria+Drogal%C3%BA%2C+Av.+da+Igualdade%2C+530%2C+Setor+Garavelo%2C+Aparecida+de+Goi%C3%A2nia+-+GO" TargetMode="External" Id="rId7"/><Relationship Type="http://schemas.openxmlformats.org/officeDocument/2006/relationships/hyperlink" Target="https://www.google.com/maps/dir/?api=1&amp;origin=Sorridents+Garavelo%2C+Av.+da+Igualdade%2C+530%2C+Setor+Garavelo%2C+Aparecida+de+Goi%C3%A2nia+-+GO&amp;destination=Drogaria+Drogal%C3%BA%2C+Av.+da+Igualdade%2C+530%2C+Setor+Garavelo%2C+Aparecida+de+Goi%C3%A2nia+-+GO&amp;travelmode=walking" TargetMode="External" Id="rId8"/><Relationship Type="http://schemas.openxmlformats.org/officeDocument/2006/relationships/hyperlink" Target="https://www.google.com/maps/search/?api=1&amp;query=A%C3%A7a%C3%AD+Express+Garavelo%2C+Av.+da+Igualdade%2C+630%2C+Setor+Garavelo%2C+Aparecida+de+Goi%C3%A2nia+-+GO" TargetMode="External" Id="rId9"/><Relationship Type="http://schemas.openxmlformats.org/officeDocument/2006/relationships/hyperlink" Target="https://www.google.com/maps/dir/?api=1&amp;origin=Drogaria+Drogal%C3%BA%2C+Av.+da+Igualdade%2C+530%2C+Setor+Garavelo%2C+Aparecida+de+Goi%C3%A2nia+-+GO&amp;destination=A%C3%A7a%C3%AD+Express+Garavelo%2C+Av.+da+Igualdade%2C+630%2C+Setor+Garavelo%2C+Aparecida+de+Goi%C3%A2nia+-+GO&amp;travelmode=walking" TargetMode="External" Id="rId10"/><Relationship Type="http://schemas.openxmlformats.org/officeDocument/2006/relationships/hyperlink" Target="https://www.google.com/maps/search/?api=1&amp;query=Isodonto+Cais%2C+Av.+da+Igualdade%2C+734-802%2C+Setor+Garavelo%2C+Aparecida+de+Goi%C3%A2nia+-+GO" TargetMode="External" Id="rId11"/><Relationship Type="http://schemas.openxmlformats.org/officeDocument/2006/relationships/hyperlink" Target="https://www.google.com/maps/dir/?api=1&amp;origin=A%C3%A7a%C3%AD+Express+Garavelo%2C+Av.+da+Igualdade%2C+630%2C+Setor+Garavelo%2C+Aparecida+de+Goi%C3%A2nia+-+GO&amp;destination=Isodonto+Cais%2C+Av.+da+Igualdade%2C+734-802%2C+Setor+Garavelo%2C+Aparecida+de+Goi%C3%A2nia+-+GO&amp;travelmode=walking" TargetMode="External" Id="rId12"/><Relationship Type="http://schemas.openxmlformats.org/officeDocument/2006/relationships/hyperlink" Target="https://www.google.com/maps/search/?api=1&amp;query=Utramed+Cl%C3%ADnica+M%C3%A9dica%2C+Av.+da+Igualdade%2C+804-944%2C+Setor+Garavelo%2C+Aparecida+de+Goi%C3%A2nia+-+GO" TargetMode="External" Id="rId13"/><Relationship Type="http://schemas.openxmlformats.org/officeDocument/2006/relationships/hyperlink" Target="https://www.google.com/maps/dir/?api=1&amp;origin=Isodonto+Cais%2C+Av.+da+Igualdade%2C+734-802%2C+Setor+Garavelo%2C+Aparecida+de+Goi%C3%A2nia+-+GO&amp;destination=Utramed+Cl%C3%ADnica+M%C3%A9dica%2C+Av.+da+Igualdade%2C+804-944%2C+Setor+Garavelo%2C+Aparecida+de+Goi%C3%A2nia+-+GO&amp;travelmode=walking" TargetMode="External" Id="rId14"/><Relationship Type="http://schemas.openxmlformats.org/officeDocument/2006/relationships/hyperlink" Target="https://www.google.com/maps/search/?api=1&amp;query=Iso+Cl%C3%ADnica+%E2%80%93+unidade+Garavelo%2C+Av.+da+Igualdade%2C+1379-1447%2C+CEP+74930-530%2C+Setor+Garavelo%2C+Aparecida+de+Goi%C3%A2nia+-+GO" TargetMode="External" Id="rId15"/><Relationship Type="http://schemas.openxmlformats.org/officeDocument/2006/relationships/hyperlink" Target="https://www.google.com/maps/dir/?api=1&amp;origin=Utramed+Cl%C3%ADnica+M%C3%A9dica%2C+Av.+da+Igualdade%2C+804-944%2C+Setor+Garavelo%2C+Aparecida+de+Goi%C3%A2nia+-+GO&amp;destination=Iso+Cl%C3%ADnica+%E2%80%93+unidade+Garavelo%2C+Av.+da+Igualdade%2C+1379-1447%2C+CEP+74930-530%2C+Setor+Garavelo%2C+Aparecida+de+Goi%C3%A2nia+-+GO&amp;travelmode=walking" TargetMode="External" Id="rId16"/><Relationship Type="http://schemas.openxmlformats.org/officeDocument/2006/relationships/hyperlink" Target="https://www.google.com/maps/search/?api=1&amp;query=Criativa+Papelaria%2C+Bolsas+e+Acess%C3%B3rios%2C+Av.+da+Igualdade%2C+Qd.+92%2C+Lt.+21%2C+Sala+4%2C+CEP+74930-530%2C+Setor+Garavelo%2C+Aparecida+de+Goi%C3%A2nia+-+GO" TargetMode="External" Id="rId17"/><Relationship Type="http://schemas.openxmlformats.org/officeDocument/2006/relationships/hyperlink" Target="https://www.google.com/maps/dir/?api=1&amp;origin=Iso+Cl%C3%ADnica+%E2%80%93+unidade+Garavelo%2C+Av.+da+Igualdade%2C+1379-1447%2C+CEP+74930-530%2C+Setor+Garavelo%2C+Aparecida+de+Goi%C3%A2nia+-+GO&amp;destination=Criativa+Papelaria%2C+Bolsas+e+Acess%C3%B3rios%2C+Av.+da+Igualdade%2C+Qd.+92%2C+Lt.+21%2C+Sala+4%2C+CEP+74930-530%2C+Setor+Garavelo%2C+Aparecida+de+Goi%C3%A2nia+-+GO&amp;travelmode=walking" TargetMode="External" Id="rId18"/><Relationship Type="http://schemas.openxmlformats.org/officeDocument/2006/relationships/hyperlink" Target="https://www.google.com/maps/search/?api=1&amp;query=Santa+Barba%2C+Av.+da+Igualdade%2C+n%C2%BA+02%2C+Qd.+99%2C+Lt.+01%2C+Sala+02%2C+CEP+74930-530%2C+Setor+Garavelo%2C+Aparecida+de+Goi%C3%A2nia+-+GO" TargetMode="External" Id="rId19"/><Relationship Type="http://schemas.openxmlformats.org/officeDocument/2006/relationships/hyperlink" Target="https://www.google.com/maps/dir/?api=1&amp;origin=Criativa+Papelaria%2C+Bolsas+e+Acess%C3%B3rios%2C+Av.+da+Igualdade%2C+Qd.+92%2C+Lt.+21%2C+Sala+4%2C+CEP+74930-530%2C+Setor+Garavelo%2C+Aparecida+de+Goi%C3%A2nia+-+GO&amp;destination=Santa+Barba%2C+Av.+da+Igualdade%2C+n%C2%BA+02%2C+Qd.+99%2C+Lt.+01%2C+Sala+02%2C+CEP+74930-530%2C+Setor+Garavelo%2C+Aparecida+de+Goi%C3%A2nia+-+GO&amp;travelmode=walking" TargetMode="External" Id="rId20"/><Relationship Type="http://schemas.openxmlformats.org/officeDocument/2006/relationships/hyperlink" Target="https://www.google.com/maps/search/?api=1&amp;query=Campana+Pizzaria+e+Restaurante%2C+Av.+da+Igualdade%2C+Qd.+99%2C+Lt.+3%2C+Setor+Garavelo%2C+Aparecida+de+Goi%C3%A2nia+-+GO" TargetMode="External" Id="rId21"/><Relationship Type="http://schemas.openxmlformats.org/officeDocument/2006/relationships/hyperlink" Target="https://www.google.com/maps/dir/?api=1&amp;origin=Santa+Barba%2C+Av.+da+Igualdade%2C+n%C2%BA+02%2C+Qd.+99%2C+Lt.+01%2C+Sala+02%2C+CEP+74930-530%2C+Setor+Garavelo%2C+Aparecida+de+Goi%C3%A2nia+-+GO&amp;destination=Campana+Pizzaria+e+Restaurante%2C+Av.+da+Igualdade%2C+Qd.+99%2C+Lt.+3%2C+Setor+Garavelo%2C+Aparecida+de+Goi%C3%A2nia+-+GO&amp;travelmode=walking" TargetMode="External" Id="rId22"/><Relationship Type="http://schemas.openxmlformats.org/officeDocument/2006/relationships/hyperlink" Target="https://www.google.com/maps/search/?api=1&amp;query=Cl%C3%ADnica+Veterin%C3%A1ria+Faro%2C+Av.+da+Igualdade%2C+Qd.+103%2C+Lt.+3%2C+CEP+74930-530%2C+Setor+Garavelo%2C+Aparecida+de+Goi%C3%A2nia+-+GO" TargetMode="External" Id="rId23"/><Relationship Type="http://schemas.openxmlformats.org/officeDocument/2006/relationships/hyperlink" Target="https://www.google.com/maps/dir/?api=1&amp;origin=Campana+Pizzaria+e+Restaurante%2C+Av.+da+Igualdade%2C+Qd.+99%2C+Lt.+3%2C+Setor+Garavelo%2C+Aparecida+de+Goi%C3%A2nia+-+GO&amp;destination=Cl%C3%ADnica+Veterin%C3%A1ria+Faro%2C+Av.+da+Igualdade%2C+Qd.+103%2C+Lt.+3%2C+CEP+74930-530%2C+Setor+Garavelo%2C+Aparecida+de+Goi%C3%A2nia+-+GO&amp;travelmode=walking" TargetMode="External" Id="rId24"/><Relationship Type="http://schemas.openxmlformats.org/officeDocument/2006/relationships/hyperlink" Target="https://www.google.com/maps/search/?api=1&amp;query=Cl%C3%ADnica+Veterin%C3%A1ria+Animal+Planet%2C+Av.+da+Igualdade%2C+Qd.+104%2C+Lt.+12%2C+Setor+Garavelo%2C+Aparecida+de+Goi%C3%A2nia+-+GO" TargetMode="External" Id="rId25"/><Relationship Type="http://schemas.openxmlformats.org/officeDocument/2006/relationships/hyperlink" Target="https://www.google.com/maps/dir/?api=1&amp;origin=Cl%C3%ADnica+Veterin%C3%A1ria+Faro%2C+Av.+da+Igualdade%2C+Qd.+103%2C+Lt.+3%2C+CEP+74930-530%2C+Setor+Garavelo%2C+Aparecida+de+Goi%C3%A2nia+-+GO&amp;destination=Cl%C3%ADnica+Veterin%C3%A1ria+Animal+Planet%2C+Av.+da+Igualdade%2C+Qd.+104%2C+Lt.+12%2C+Setor+Garavelo%2C+Aparecida+de+Goi%C3%A2nia+-+GO&amp;travelmode=walking" TargetMode="External" Id="rId26"/><Relationship Type="http://schemas.openxmlformats.org/officeDocument/2006/relationships/hyperlink" Target="https://www.google.com/maps/search/?api=1&amp;query=Mega+Pastel%2C+Av.+da+Igualdade%2C+s%2Fn%2C+Qd.+105%2C+Lt.+04%2C+Sala+08%2C+Setor+Garavelo%2C+Aparecida+de+Goi%C3%A2nia+-+GO" TargetMode="External" Id="rId27"/><Relationship Type="http://schemas.openxmlformats.org/officeDocument/2006/relationships/hyperlink" Target="https://www.google.com/maps/dir/?api=1&amp;origin=Cl%C3%ADnica+Veterin%C3%A1ria+Animal+Planet%2C+Av.+da+Igualdade%2C+Qd.+104%2C+Lt.+12%2C+Setor+Garavelo%2C+Aparecida+de+Goi%C3%A2nia+-+GO&amp;destination=Mega+Pastel%2C+Av.+da+Igualdade%2C+s%2Fn%2C+Qd.+105%2C+Lt.+04%2C+Sala+08%2C+Setor+Garavelo%2C+Aparecida+de+Goi%C3%A2nia+-+GO&amp;travelmode=walking" TargetMode="External" Id="rId28"/><Relationship Type="http://schemas.openxmlformats.org/officeDocument/2006/relationships/hyperlink" Target="https://www.google.com/maps/search/?api=1&amp;query=RS+Pizzaria+e+Sorveteria%2C+Av.+da+Igualdade%2C+Qd.+115%2C+Setor+Garavelo%2C+Aparecida+de+Goi%C3%A2nia+-+GO" TargetMode="External" Id="rId29"/><Relationship Type="http://schemas.openxmlformats.org/officeDocument/2006/relationships/hyperlink" Target="https://www.google.com/maps/dir/?api=1&amp;origin=Mega+Pastel%2C+Av.+da+Igualdade%2C+s%2Fn%2C+Qd.+105%2C+Lt.+04%2C+Sala+08%2C+Setor+Garavelo%2C+Aparecida+de+Goi%C3%A2nia+-+GO&amp;destination=RS+Pizzaria+e+Sorveteria%2C+Av.+da+Igualdade%2C+Qd.+115%2C+Setor+Garavelo%2C+Aparecida+de+Goi%C3%A2nia+-+GO&amp;travelmode=walking" TargetMode="External" Id="rId30"/><Relationship Type="http://schemas.openxmlformats.org/officeDocument/2006/relationships/hyperlink" Target="https://www.google.com/maps/search/?api=1&amp;query=Big+Lar+Utilidades+%E2%80%93+unidade+Igualdade%2C+Av.+da+Igualdade%2C+Qd.+117%2C+Lt.+01%2C+Setor+Garavelo%2C+Aparecida+de+Goi%C3%A2nia+-+GO" TargetMode="External" Id="rId31"/><Relationship Type="http://schemas.openxmlformats.org/officeDocument/2006/relationships/hyperlink" Target="https://www.google.com/maps/dir/?api=1&amp;origin=RS+Pizzaria+e+Sorveteria%2C+Av.+da+Igualdade%2C+Qd.+115%2C+Setor+Garavelo%2C+Aparecida+de+Goi%C3%A2nia+-+GO&amp;destination=Big+Lar+Utilidades+%E2%80%93+unidade+Igualdade%2C+Av.+da+Igualdade%2C+Qd.+117%2C+Lt.+01%2C+Setor+Garavelo%2C+Aparecida+de+Goi%C3%A2nia+-+GO&amp;travelmode=walking" TargetMode="External" Id="rId32"/><Relationship Type="http://schemas.openxmlformats.org/officeDocument/2006/relationships/hyperlink" Target="https://www.google.com/maps/search/?api=1&amp;query=Fique+Belli+Beleza+e+Cuidado%2C+Av.+da+Igualdade%2C+Qd.+118%2C+Lt.+18%2C+Sala+01%2C+CEP+74930-530%2C+Setor+Garavelo%2C+Aparecida+de+Goi%C3%A2nia+-+GO" TargetMode="External" Id="rId33"/><Relationship Type="http://schemas.openxmlformats.org/officeDocument/2006/relationships/hyperlink" Target="https://www.google.com/maps/dir/?api=1&amp;origin=Big+Lar+Utilidades+%E2%80%93+unidade+Igualdade%2C+Av.+da+Igualdade%2C+Qd.+117%2C+Lt.+01%2C+Setor+Garavelo%2C+Aparecida+de+Goi%C3%A2nia+-+GO&amp;destination=Fique+Belli+Beleza+e+Cuidado%2C+Av.+da+Igualdade%2C+Qd.+118%2C+Lt.+18%2C+Sala+01%2C+CEP+74930-530%2C+Setor+Garavelo%2C+Aparecida+de+Goi%C3%A2nia+-+GO&amp;travelmode=walking" TargetMode="External" Id="rId34"/><Relationship Type="http://schemas.openxmlformats.org/officeDocument/2006/relationships/hyperlink" Target="https://www.google.com/maps/search/?api=1&amp;query=Dr+Atende+J%C3%A1%21+Cl%C3%ADnica+Popular%2C+Av.+da+Igualdade%2C+Qd.+119%2C+Lt.+03%2C+Salas+01-03%2C+Garavelo+Residencial+Park%2C+Aparecida+de+Goi%C3%A2nia+-+GO" TargetMode="External" Id="rId35"/><Relationship Type="http://schemas.openxmlformats.org/officeDocument/2006/relationships/hyperlink" Target="https://www.google.com/maps/dir/?api=1&amp;origin=Fique+Belli+Beleza+e+Cuidado%2C+Av.+da+Igualdade%2C+Qd.+118%2C+Lt.+18%2C+Sala+01%2C+CEP+74930-530%2C+Setor+Garavelo%2C+Aparecida+de+Goi%C3%A2nia+-+GO&amp;destination=Dr+Atende+J%C3%A1%21+Cl%C3%ADnica+Popular%2C+Av.+da+Igualdade%2C+Qd.+119%2C+Lt.+03%2C+Salas+01-03%2C+Garavelo+Residencial+Park%2C+Aparecida+de+Goi%C3%A2nia+-+GO&amp;travelmode=walking" TargetMode="External" Id="rId36"/><Relationship Type="http://schemas.openxmlformats.org/officeDocument/2006/relationships/hyperlink" Target="https://www.google.com/maps/search/?api=1&amp;query=Alice+Fernandes+Nails%2C+Av.+da+Igualdade%2C+Qd.+122%2C+Lt.+16%2C+Sala+6%2C+Setor+Garavelo%2C+Aparecida+de+Goi%C3%A2nia+-+GO" TargetMode="External" Id="rId37"/><Relationship Type="http://schemas.openxmlformats.org/officeDocument/2006/relationships/hyperlink" Target="https://www.google.com/maps/dir/?api=1&amp;origin=Dr+Atende+J%C3%A1%21+Cl%C3%ADnica+Popular%2C+Av.+da+Igualdade%2C+Qd.+119%2C+Lt.+03%2C+Salas+01-03%2C+Garavelo+Residencial+Park%2C+Aparecida+de+Goi%C3%A2nia+-+GO&amp;destination=Alice+Fernandes+Nails%2C+Av.+da+Igualdade%2C+Qd.+122%2C+Lt.+16%2C+Sala+6%2C+Setor+Garavelo%2C+Aparecida+de+Goi%C3%A2nia+-+GO&amp;travelmode=walking" TargetMode="External" Id="rId38"/><Relationship Type="http://schemas.openxmlformats.org/officeDocument/2006/relationships/hyperlink" Target="https://www.google.com/maps/search/?api=1&amp;query=Medellin+Barber+Shop%2C+Av.+da+Igualdade%2C+Qd.+160%2C+Setor+Garavelo%2C+Aparecida+de+Goi%C3%A2nia+-+GO" TargetMode="External" Id="rId39"/><Relationship Type="http://schemas.openxmlformats.org/officeDocument/2006/relationships/hyperlink" Target="https://www.google.com/maps/dir/?api=1&amp;origin=Alice+Fernandes+Nails%2C+Av.+da+Igualdade%2C+Qd.+122%2C+Lt.+16%2C+Sala+6%2C+Setor+Garavelo%2C+Aparecida+de+Goi%C3%A2nia+-+GO&amp;destination=Medellin+Barber+Shop%2C+Av.+da+Igualdade%2C+Qd.+160%2C+Setor+Garavelo%2C+Aparecida+de+Goi%C3%A2nia+-+GO&amp;travelmode=walking" TargetMode="External" Id="rId40"/><Relationship Type="http://schemas.openxmlformats.org/officeDocument/2006/relationships/hyperlink" Target="https://www.google.com/maps/search/?api=1&amp;query=Sorveteria+Mec+Milk%2C+Av.+da+Igualdade%2C+s%2Fn%2C+Qd.+160%2C+Lt.+16%2C+Sala+5%2C+Setor+Garavelo%2C+Aparecida+de+Goi%C3%A2nia+-+GO" TargetMode="External" Id="rId41"/><Relationship Type="http://schemas.openxmlformats.org/officeDocument/2006/relationships/hyperlink" Target="https://www.google.com/maps/dir/?api=1&amp;origin=Medellin+Barber+Shop%2C+Av.+da+Igualdade%2C+Qd.+160%2C+Setor+Garavelo%2C+Aparecida+de+Goi%C3%A2nia+-+GO&amp;destination=Sorveteria+Mec+Milk%2C+Av.+da+Igualdade%2C+s%2Fn%2C+Qd.+160%2C+Lt.+16%2C+Sala+5%2C+Setor+Garavelo%2C+Aparecida+de+Goi%C3%A2nia+-+GO&amp;travelmode=walking" TargetMode="External" Id="rId42"/><Relationship Type="http://schemas.openxmlformats.org/officeDocument/2006/relationships/hyperlink" Target="https://www.google.com/maps/search/?api=1&amp;query=Pratos+Grill+Restaurante%2C+Av.+da+Igualdade%2C+esq.+com+Rua+12-C%2C+s%2Fn%2C+Setor+Garavelo%2C+Aparecida+de+Goi%C3%A2nia+-+GO" TargetMode="External" Id="rId43"/><Relationship Type="http://schemas.openxmlformats.org/officeDocument/2006/relationships/hyperlink" Target="https://www.google.com/maps/dir/?api=1&amp;origin=Sorveteria+Mec+Milk%2C+Av.+da+Igualdade%2C+s%2Fn%2C+Qd.+160%2C+Lt.+16%2C+Sala+5%2C+Setor+Garavelo%2C+Aparecida+de+Goi%C3%A2nia+-+GO&amp;destination=Pratos+Grill+Restaurante%2C+Av.+da+Igualdade%2C+esq.+com+Rua+12-C%2C+s%2Fn%2C+Setor+Garavelo%2C+Aparecida+de+Goi%C3%A2nia+-+GO&amp;travelmode=walking" TargetMode="External" Id="rId44"/><Relationship Type="http://schemas.openxmlformats.org/officeDocument/2006/relationships/hyperlink" Target="https://www.google.com/maps/search/?api=1&amp;query=Cacau+Show+%E2%80%93+Av.+da+Igualdade%2C+Av.+da+Igualdade%2C+s%2Fn%2C+Setor+Garavelo%2C+Aparecida+de+Goi%C3%A2nia+-+GO" TargetMode="External" Id="rId45"/><Relationship Type="http://schemas.openxmlformats.org/officeDocument/2006/relationships/hyperlink" Target="https://www.google.com/maps/dir/?api=1&amp;origin=Pratos+Grill+Restaurante%2C+Av.+da+Igualdade%2C+esq.+com+Rua+12-C%2C+s%2Fn%2C+Setor+Garavelo%2C+Aparecida+de+Goi%C3%A2nia+-+GO&amp;destination=Cacau+Show+%E2%80%93+Av.+da+Igualdade%2C+Av.+da+Igualdade%2C+s%2Fn%2C+Setor+Garavelo%2C+Aparecida+de+Goi%C3%A2nia+-+GO&amp;travelmode=walking" TargetMode="External" Id="rId46"/><Relationship Type="http://schemas.openxmlformats.org/officeDocument/2006/relationships/hyperlink" Target="https://www.google.com/maps/search/?api=1&amp;query=Lan+Castro+Restaurante+%26+Sanduicheria%2C+Av.+da+Igualdade%2C+Setor+Garavelo%2C+Aparecida+de+Goi%C3%A2nia+-+GO" TargetMode="External" Id="rId47"/><Relationship Type="http://schemas.openxmlformats.org/officeDocument/2006/relationships/hyperlink" Target="https://www.google.com/maps/dir/?api=1&amp;origin=Cacau+Show+%E2%80%93+Av.+da+Igualdade%2C+Av.+da+Igualdade%2C+s%2Fn%2C+Setor+Garavelo%2C+Aparecida+de+Goi%C3%A2nia+-+GO&amp;destination=Lan+Castro+Restaurante+%26+Sanduicheria%2C+Av.+da+Igualdade%2C+Setor+Garavelo%2C+Aparecida+de+Goi%C3%A2nia+-+GO&amp;travelmode=walking" TargetMode="External" Id="rId48"/><Relationship Type="http://schemas.openxmlformats.org/officeDocument/2006/relationships/hyperlink" Target="https://www.google.com/maps/search/?api=1&amp;query=Garavelo+Restaurante%2C+Rua+8-C%2C+Qd.+89%2C+Lt.+37%2C+Setor+Garavelo%2C+Aparecida+de+Goi%C3%A2nia+-+GO" TargetMode="External" Id="rId49"/><Relationship Type="http://schemas.openxmlformats.org/officeDocument/2006/relationships/hyperlink" Target="https://www.google.com/maps/dir/?api=1&amp;origin=Lan+Castro+Restaurante+%26+Sanduicheria%2C+Av.+da+Igualdade%2C+Setor+Garavelo%2C+Aparecida+de+Goi%C3%A2nia+-+GO&amp;destination=Garavelo+Restaurante%2C+Rua+8-C%2C+Qd.+89%2C+Lt.+37%2C+Setor+Garavelo%2C+Aparecida+de+Goi%C3%A2nia+-+GO&amp;travelmode=walking" TargetMode="External" Id="rId50"/><Relationship Type="http://schemas.openxmlformats.org/officeDocument/2006/relationships/hyperlink" Target="https://www.google.com/maps/search/?api=1&amp;query=Barbearia+Daniel+School%2C+Av.+dos+Democratas%2C+Qd.+130%2C+Lt.+15%2C+CEP+74930-480%2C+Setor+Garavelo%2C+Aparecida+de+Goi%C3%A2nia+-+GO" TargetMode="External" Id="rId51"/><Relationship Type="http://schemas.openxmlformats.org/officeDocument/2006/relationships/hyperlink" Target="https://www.google.com/maps/dir/?api=1&amp;origin=Garavelo+Restaurante%2C+Rua+8-C%2C+Qd.+89%2C+Lt.+37%2C+Setor+Garavelo%2C+Aparecida+de+Goi%C3%A2nia+-+GO&amp;destination=Barbearia+Daniel+School%2C+Av.+dos+Democratas%2C+Qd.+130%2C+Lt.+15%2C+CEP+74930-480%2C+Setor+Garavelo%2C+Aparecida+de+Goi%C3%A2nia+-+GO&amp;travelmode=walking" TargetMode="External" Id="rId52"/><Relationship Type="http://schemas.openxmlformats.org/officeDocument/2006/relationships/hyperlink" Target="https://www.google.com/maps/search/?api=1&amp;query=Studio+Poliana+Maia%2C+Av.+da+Paz%2C+Setor+Garavelo%2C+Aparecida+de+Goi%C3%A2nia+-+GO" TargetMode="External" Id="rId53"/><Relationship Type="http://schemas.openxmlformats.org/officeDocument/2006/relationships/hyperlink" Target="https://www.google.com/maps/dir/?api=1&amp;origin=Barbearia+Daniel+School%2C+Av.+dos+Democratas%2C+Qd.+130%2C+Lt.+15%2C+CEP+74930-480%2C+Setor+Garavelo%2C+Aparecida+de+Goi%C3%A2nia+-+GO&amp;destination=Studio+Poliana+Maia%2C+Av.+da+Paz%2C+Setor+Garavelo%2C+Aparecida+de+Goi%C3%A2nia+-+GO&amp;travelmode=walking" TargetMode="External" Id="rId54"/><Relationship Type="http://schemas.openxmlformats.org/officeDocument/2006/relationships/hyperlink" Target="https://www.google.com/maps/search/?api=1&amp;query=Animalandia+Pet+Shop%2C+Av.+da+Paz%2C+2-84%2C+Setor+Garavelo%2C+Aparecida+de+Goi%C3%A2nia+-+GO" TargetMode="External" Id="rId55"/><Relationship Type="http://schemas.openxmlformats.org/officeDocument/2006/relationships/hyperlink" Target="https://www.google.com/maps/dir/?api=1&amp;origin=Studio+Poliana+Maia%2C+Av.+da+Paz%2C+Setor+Garavelo%2C+Aparecida+de+Goi%C3%A2nia+-+GO&amp;destination=Animalandia+Pet+Shop%2C+Av.+da+Paz%2C+2-84%2C+Setor+Garavelo%2C+Aparecida+de+Goi%C3%A2nia+-+GO&amp;travelmode=walking" TargetMode="External" Id="rId56"/><Relationship Type="http://schemas.openxmlformats.org/officeDocument/2006/relationships/hyperlink" Target="https://www.google.com/maps/search/?api=1&amp;query=AnimalClinic%2C+Av.+da+Paz%2C+Setor+Garavelo%2C+Aparecida+de+Goi%C3%A2nia+-+GO" TargetMode="External" Id="rId57"/><Relationship Type="http://schemas.openxmlformats.org/officeDocument/2006/relationships/hyperlink" Target="https://www.google.com/maps/dir/?api=1&amp;origin=Animalandia+Pet+Shop%2C+Av.+da+Paz%2C+2-84%2C+Setor+Garavelo%2C+Aparecida+de+Goi%C3%A2nia+-+GO&amp;destination=AnimalClinic%2C+Av.+da+Paz%2C+Setor+Garavelo%2C+Aparecida+de+Goi%C3%A2nia+-+GO&amp;travelmode=walking" TargetMode="External" Id="rId58"/><Relationship Type="http://schemas.openxmlformats.org/officeDocument/2006/relationships/hyperlink" Target="https://www.google.com/maps/search/?api=1&amp;query=Barbearia+Don+Navalha%2C+Av.+da+Paz%2C+CEP+74930-570%2C+Setor+Garavelo%2C+Aparecida+de+Goi%C3%A2nia+-+GO" TargetMode="External" Id="rId59"/><Relationship Type="http://schemas.openxmlformats.org/officeDocument/2006/relationships/hyperlink" Target="https://www.google.com/maps/dir/?api=1&amp;origin=AnimalClinic%2C+Av.+da+Paz%2C+Setor+Garavelo%2C+Aparecida+de+Goi%C3%A2nia+-+GO&amp;destination=Barbearia+Don+Navalha%2C+Av.+da+Paz%2C+CEP+74930-570%2C+Setor+Garavelo%2C+Aparecida+de+Goi%C3%A2nia+-+GO&amp;travelmode=walking" TargetMode="External" Id="rId6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Elcinaldo+Lima+Maciel%2C+Av.+Alexandre+de+Morais%2C+31%2C+Parque+Amaz%C3%B4nia%2C+Goi%C3%A2nia+-+GO" TargetMode="External" Id="rId1"/><Relationship Type="http://schemas.openxmlformats.org/officeDocument/2006/relationships/hyperlink" Target="https://www.google.com/maps/search/?api=1&amp;query=Barbearia+Philadelphia%2C+Av.+Rio+Negro+%28sem+n%C3%BAmero%29%2C+Parque+Amaz%C3%B4nia%2C+Goi%C3%A2nia+-+GO" TargetMode="External" Id="rId2"/><Relationship Type="http://schemas.openxmlformats.org/officeDocument/2006/relationships/hyperlink" Target="https://www.google.com/maps/search/?api=1&amp;query=Egypt+Barbearia%2C+Av.+Dona+Ana+Nunes+de+Morais%2C+26%2C+sala+04%2C+Parque+Amaz%C3%B4nia%2C+Goi%C3%A2nia+-+GO" TargetMode="External" Id="rId3"/><Relationship Type="http://schemas.openxmlformats.org/officeDocument/2006/relationships/hyperlink" Target="https://www.google.com/maps/search/?api=1&amp;query=Sushi+Loko%2C+Av.+Rio+Verde%2C+1%2C+Vila+S%C3%A3o+Tomaz+%28Aparecida%29%2C+Aparecida+de+Goi%C3%A2nia+-+GO" TargetMode="External" Id="rId4"/><Relationship Type="http://schemas.openxmlformats.org/officeDocument/2006/relationships/hyperlink" Target="https://www.google.com/maps/search/?api=1&amp;query=BAFO+Lava+Motos%2C+Av.+Sen.+Jos%C3%A9+Rodrigues+de+Morais+Neto+%28sem+n%C3%BAmero%29%2C+Parque+Amaz%C3%B4nia%2C+Goi%C3%A2nia+-+GO" TargetMode="External" Id="rId5"/><Relationship Type="http://schemas.openxmlformats.org/officeDocument/2006/relationships/hyperlink" Target="https://www.google.com/maps/search/?api=1&amp;query=Maria+de+F%C3%A1tima+Silva%2C+Av.+T-15+%28sem+n%C3%BAmero%29%2C+Parque+Amaz%C3%B4nia%2C+Goi%C3%A2nia+-+GO" TargetMode="External" Id="rId6"/><Relationship Type="http://schemas.openxmlformats.org/officeDocument/2006/relationships/hyperlink" Target="https://www.google.com/maps/search/?api=1&amp;query=Barbearia+dos+Barbudos%2C+Av.+Padre+Orlando+Morais%2C+Qd.+108%2C+Lt.+18%2C+Parque+Amaz%C3%B4nia%2C+Goi%C3%A2nia+-+GO" TargetMode="External" Id="rId7"/><Relationship Type="http://schemas.openxmlformats.org/officeDocument/2006/relationships/hyperlink" Target="https://www.google.com/maps/search/?api=1&amp;query=Oficina+AUTOP%2C+Av.+Padre+Orlando+de+Morais%2C+1975%2C+Parque+Amaz%C3%B4nia%2C+Goi%C3%A2nia+-+GO" TargetMode="External" Id="rId8"/><Relationship Type="http://schemas.openxmlformats.org/officeDocument/2006/relationships/hyperlink" Target="https://www.google.com/maps/search/?api=1&amp;query=Stark+CrossFit%2C+Av.+Padre+Orlando+de+Morais%2C+Qd.+152%2C+Lt.+03%2C+Parque+Amaz%C3%B4nia%2C+Goi%C3%A2nia+-+GO" TargetMode="External" Id="rId9"/><Relationship Type="http://schemas.openxmlformats.org/officeDocument/2006/relationships/hyperlink" Target="https://www.google.com/maps/search/?api=1&amp;query=%C3%93ticas+Brasil+%E2%80%93+Parque+Amaz%C3%B4nia%2C+Av.+Padre+Orlando+de+Morais%2C+2017%2C+CEP+74843-200%2C+Parque+Amaz%C3%B4nia%2C+Goi%C3%A2nia+-+GO" TargetMode="External" Id="rId10"/><Relationship Type="http://schemas.openxmlformats.org/officeDocument/2006/relationships/hyperlink" Target="https://www.google.com/maps/search/?api=1&amp;query=Tiu+Patinhas%2C+Av.+Ant%C3%B4nio+Fid%C3%A9lis%2C+887%2C+Qd.+115%2C+Lt.+01%2C+Sala+01%2C+Parque+Amaz%C3%B4nia%2C+Goi%C3%A2nia+-+GO" TargetMode="External" Id="rId11"/><Relationship Type="http://schemas.openxmlformats.org/officeDocument/2006/relationships/hyperlink" Target="https://www.google.com/maps/search/?api=1&amp;query=Cl%C3%ADnica+Sa%C3%BAde+Odontologia%2C+Av.+Ant%C3%B4nio+Fid%C3%A9lis%2C+Qd.+154%2C+Lt.+07%2C+CEP+74840-090%2C+Parque+Amaz%C3%B4nia%2C+Goi%C3%A2nia+-+GO" TargetMode="External" Id="rId12"/><Relationship Type="http://schemas.openxmlformats.org/officeDocument/2006/relationships/hyperlink" Target="https://www.google.com/maps/search/?api=1&amp;query=NEO+%E2%80%93+N%C3%BAcleo+Especializado+em+Odontologia%2C+Av.+Ant%C3%B4nio+Fid%C3%A9lis%2C+1005%2C+Qd.+154%2C+Lt.+10%2C+Parque+Amaz%C3%B4nia%2C+Goi%C3%A2nia+-+GO" TargetMode="External" Id="rId13"/><Relationship Type="http://schemas.openxmlformats.org/officeDocument/2006/relationships/hyperlink" Target="https://www.google.com/maps/search/?api=1&amp;query=Grano+Pane%2C+Av.+Ant%C3%B4nio+Fid%C3%A9lis+%28sem+n%C3%BAmero%29%2C+Parque+Amaz%C3%B4nia%2C+Goi%C3%A2nia+-+GO" TargetMode="External" Id="rId14"/><Relationship Type="http://schemas.openxmlformats.org/officeDocument/2006/relationships/hyperlink" Target="https://www.google.com/maps/search/?api=1&amp;query=Sa%C3%BAde+Animal+Cl%C3%ADnica+Veterin%C3%A1ria%2C+R.+Montes+Claros%2C+35%2C+Qd.+109%2C+Lt.+10%2C+CEP+74840-650%2C+Parque+Amaz%C3%B4nia%2C+Goi%C3%A2nia+-+GO" TargetMode="External" Id="rId15"/><Relationship Type="http://schemas.openxmlformats.org/officeDocument/2006/relationships/hyperlink" Target="https://www.google.com/maps/search/?api=1&amp;query=Planeta+Pet%2C+Av.+Dona+Maria+Cardoso%2C+365%2C+Qd.+120%2C+Lt.+01%2C+Parque+Amaz%C3%B4nia%2C+Goi%C3%A2nia+-+GO" TargetMode="External" Id="rId16"/><Relationship Type="http://schemas.openxmlformats.org/officeDocument/2006/relationships/hyperlink" Target="https://www.google.com/maps/search/?api=1&amp;query=DIASCAR+Lava+Jato%2C+Av.+Dona+Maria+Cardoso%2C+901%2C+Parque+Amaz%C3%B4nia%2C+Goi%C3%A2nia+-+GO" TargetMode="External" Id="rId17"/><Relationship Type="http://schemas.openxmlformats.org/officeDocument/2006/relationships/hyperlink" Target="https://www.google.com/maps/search/?api=1&amp;query=Amaz%C3%B4nia+Pet%2C+R.+Manaus%2C+Qd.+146%2C+Lt.+19%2C+Parque+Amaz%C3%B4nia%2C+Goi%C3%A2nia+-+GO" TargetMode="External" Id="rId18"/><Relationship Type="http://schemas.openxmlformats.org/officeDocument/2006/relationships/hyperlink" Target="https://www.google.com/maps/search/?api=1&amp;query=Panificadora+Amaz%C3%B4nia%2C+R.+Manaus%2C+286%2C+Qd.+146%2C+Lt.+11%2C+CEP+74843-170%2C+Parque+Amaz%C3%B4nia%2C+Goi%C3%A2nia+-+GO" TargetMode="External" Id="rId19"/><Relationship Type="http://schemas.openxmlformats.org/officeDocument/2006/relationships/hyperlink" Target="https://www.google.com/maps/search/?api=1&amp;query=Doce+Lar+Pet+Shop%2C+R.+C%C3%B3rdoba%2C+246%2C+Lt.+06%2C+Parque+Amaz%C3%B4nia%2C+Goi%C3%A2nia+-+GO" TargetMode="External" Id="rId20"/><Relationship Type="http://schemas.openxmlformats.org/officeDocument/2006/relationships/hyperlink" Target="https://www.google.com/maps/search/?api=1&amp;query=Consulta+Pet%2C+R.+Campos+do+Jord%C3%A3o%2C+Qd.+101%2C+Lt.+15%2C+Parque+Amaz%C3%B4nia%2C+Goi%C3%A2nia+-+GO" TargetMode="External" Id="rId21"/><Relationship Type="http://schemas.openxmlformats.org/officeDocument/2006/relationships/hyperlink" Target="https://www.google.com/maps/search/?api=1&amp;query=Cantinho+dos+Bolos%2C+R.+Mossor%C3%B3%2C+Qd.+96%2C+Lt.+09%2C+Parque+Amaz%C3%B4nia%2C+Goi%C3%A2nia+-+GO" TargetMode="External" Id="rId22"/><Relationship Type="http://schemas.openxmlformats.org/officeDocument/2006/relationships/hyperlink" Target="https://www.google.com/maps/search/?api=1&amp;query=Multt+Car+Auto+Mec%C3%A2nica%2C+R.+Muiraquit%C3%A3+%28sem+n%C3%BAmero%29%2C+Parque+Amaz%C3%B4nia%2C+Goi%C3%A2nia+-+GO" TargetMode="External" Id="rId23"/><Relationship Type="http://schemas.openxmlformats.org/officeDocument/2006/relationships/hyperlink" Target="https://www.google.com/maps/search/?api=1&amp;query=Pit+Stop+Imports%2C+R.+Tauari+%28sem+n%C3%BAmero%29%2C+Parque+Amaz%C3%B4nia%2C+Goi%C3%A2nia+-+GO" TargetMode="External" Id="rId24"/><Relationship Type="http://schemas.openxmlformats.org/officeDocument/2006/relationships/hyperlink" Target="https://www.google.com/maps/search/?api=1&amp;query=Para%C3%ADso+dos+Cosm%C3%A9ticos%2C+Setor+Garavelo+%28endere%C3%A7o+exato+n%C3%A3o+confirmado%29%2C+Aparecida+de+Goi%C3%A2nia+-+GO" TargetMode="External" Id="rId25"/><Relationship Type="http://schemas.openxmlformats.org/officeDocument/2006/relationships/hyperlink" Target="https://www.google.com/maps/search/?api=1&amp;query=Isodonto+%E2%80%93+Av.+Igualdade%2C+Av.+da+Igualdade%2C+Aparecida+de+Goi%C3%A2nia+-+GO" TargetMode="External" Id="rId26"/><Relationship Type="http://schemas.openxmlformats.org/officeDocument/2006/relationships/hyperlink" Target="https://www.google.com/maps/search/?api=1&amp;query=Allure+Nails%2C+Garavelo+Residencial+Park%2C+Aparecida+de+Goi%C3%A2nia+-+GO" TargetMode="External" Id="rId2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google.com/maps/dir/?api=1&amp;origin=-16.739062%2C-49.275687&amp;destination=Avenida+da+Igualdade%2C+100%2C+Setor+Garavelo%2C+Aparecida+de+Goi%C3%A2nia+-+GO&amp;travelmode=driving" TargetMode="External" Id="rId1"/><Relationship Type="http://schemas.openxmlformats.org/officeDocument/2006/relationships/hyperlink" Target="https://www.google.com/maps/dir/?api=1&amp;origin=Avenida+da+Paz%2C+Setor+Garavelo%2C+Aparecida+de+Goi%C3%A2nia+-+GO&amp;destination=-16.739062%2C-49.275687&amp;travelmode=driving" TargetMode="External" Id="rId2"/><Relationship Type="http://schemas.openxmlformats.org/officeDocument/2006/relationships/hyperlink" Target="https://www.google.com/maps/dir/?api=1&amp;origin=Pra%C3%A7a+Jos%C3%A9+Rodrigues+de+Morais+Neto%2C+Parque+Amaz%C3%B4nia%2C+Goi%C3%A2nia+-+GO&amp;destination=-16.739062%2C-49.275687&amp;travelmode=driving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vintagebarbeariapub.com.br/" TargetMode="External" Id="rId1"/><Relationship Type="http://schemas.openxmlformats.org/officeDocument/2006/relationships/hyperlink" Target="https://www.trinks.com/vintage-barbearia-pub" TargetMode="External" Id="rId2"/><Relationship Type="http://schemas.openxmlformats.org/officeDocument/2006/relationships/hyperlink" Target="https://www.guiamais.com.br/goiania-go/servicos-para-animais/pet-shop/12126917-11/agrobessa-pet-shop" TargetMode="External" Id="rId3"/><Relationship Type="http://schemas.openxmlformats.org/officeDocument/2006/relationships/hyperlink" Target="https://www.apontador.com.br/local/go/goiania/pet_shops/98J65Y94/agrobessa.html" TargetMode="External" Id="rId4"/><Relationship Type="http://schemas.openxmlformats.org/officeDocument/2006/relationships/hyperlink" Target="https://www.telelistas.net/locais/go/goiania/pet+shops/bu-3625753/agrobessa+em+parque+amazonia" TargetMode="External" Id="rId5"/><Relationship Type="http://schemas.openxmlformats.org/officeDocument/2006/relationships/hyperlink" Target="https://wanderboat.ai/restaurants/brazil/regi%C3%A3o-geogr%C3%A1fica-imediata-de-goi%C3%A2nia/d'esfihas---parque-amaz%C3%B4nia/ZEMHLXJPSkK3HZKLYmR34A" TargetMode="External" Id="rId6"/><Relationship Type="http://schemas.openxmlformats.org/officeDocument/2006/relationships/hyperlink" Target="https://www.jornalopcao.com.br/ultimas-noticias/avenida-no-parque-amazonia-e-opcao-gastronomica-para-fugir-da-mesmice-veja-o-que-fazer-112549/" TargetMode="External" Id="rId7"/><Relationship Type="http://schemas.openxmlformats.org/officeDocument/2006/relationships/hyperlink" Target="https://www.telelistas.net/go/goiania/em+parque+amazonia/cabeleireiros+e+institutos+de+beleza" TargetMode="External" Id="rId8"/><Relationship Type="http://schemas.openxmlformats.org/officeDocument/2006/relationships/hyperlink" Target="https://guiapinzon.com.br/go/goiania/parque-amazonia/manicure-em-parque-amazonia" TargetMode="External" Id="rId9"/><Relationship Type="http://schemas.openxmlformats.org/officeDocument/2006/relationships/hyperlink" Target="https://www.guiatelefone.com/empresas/goiania-go/bairro/parque-amazonia/institutos-de-beleza/saloes-de-beleza-e-cabeleireiros" TargetMode="External" Id="rId10"/><Relationship Type="http://schemas.openxmlformats.org/officeDocument/2006/relationships/hyperlink" Target="https://salaodebelezaspertodemim.com/e/e-v-s-salao-de-beleza-hair-and-make-up-ceuvdc/" TargetMode="External" Id="rId11"/><Relationship Type="http://schemas.openxmlformats.org/officeDocument/2006/relationships/hyperlink" Target="https://www.trinks.com/cachos-brasil-goiania" TargetMode="External" Id="rId12"/><Relationship Type="http://schemas.openxmlformats.org/officeDocument/2006/relationships/hyperlink" Target="https://www.diariocidade.com/go/aparecida-de-goiania/guia/saloes-de-beleza/" TargetMode="External" Id="rId13"/><Relationship Type="http://schemas.openxmlformats.org/officeDocument/2006/relationships/hyperlink" Target="https://ohoje.com/2022/09/20/hamburguerias-em-goiania-que-voce-precisa-conhecer/" TargetMode="External" Id="rId14"/><Relationship Type="http://schemas.openxmlformats.org/officeDocument/2006/relationships/hyperlink" Target="https://www.maisgoias.com.br/divirta-se/hamburguerias-em-goiania-pra-quem-nao-dispensa-um-lanche-caprichado/" TargetMode="External" Id="rId15"/><Relationship Type="http://schemas.openxmlformats.org/officeDocument/2006/relationships/hyperlink" Target="https://tapajosengenharia.com.br/descubra-parque-amazonia/" TargetMode="External" Id="rId16"/><Relationship Type="http://schemas.openxmlformats.org/officeDocument/2006/relationships/hyperlink" Target="https://www.apontador.com.br/local/go/goiania/pizzarias/4AGVDQW8/pizzaria_emporio_da_pizza_parque_amazonia.html" TargetMode="External" Id="rId17"/><Relationship Type="http://schemas.openxmlformats.org/officeDocument/2006/relationships/hyperlink" Target="https://www.guiatelefone.com/goiania-go/restaurantes/581241/tio-pizzas" TargetMode="External" Id="rId18"/><Relationship Type="http://schemas.openxmlformats.org/officeDocument/2006/relationships/hyperlink" Target="https://www.guiatelefone.com/empresas/goiania-go/bairro/parque-amazonia/restaurantes/restaurante" TargetMode="External" Id="rId19"/><Relationship Type="http://schemas.openxmlformats.org/officeDocument/2006/relationships/hyperlink" Target="https://www.apontador.com.br/em/parque-amazonia-goiania-go/bares-e-restaurantes" TargetMode="External" Id="rId20"/><Relationship Type="http://schemas.openxmlformats.org/officeDocument/2006/relationships/hyperlink" Target="https://www.maisgoias.com.br/divirta-se/gastronomia/jantinha-mobiliza-mais-de-4-mil-comentarios-e-rende-nova-lista-com-12-lugares/" TargetMode="External" Id="rId21"/><Relationship Type="http://schemas.openxmlformats.org/officeDocument/2006/relationships/hyperlink" Target="https://www.tripadvisor.com/Restaurant_Review-g303324-d5336200-Reviews-Jantinhas_Grill-Goiania_State_of_Goias.html" TargetMode="External" Id="rId22"/><Relationship Type="http://schemas.openxmlformats.org/officeDocument/2006/relationships/hyperlink" Target="https://curtamais.com.br/goiania/omelhordacidade/jantinhas-grill/" TargetMode="External" Id="rId23"/><Relationship Type="http://schemas.openxmlformats.org/officeDocument/2006/relationships/hyperlink" Target="https://www.fidfacil.com.br/lista/goiania-go/lojas/acai-sorvete" TargetMode="External" Id="rId24"/><Relationship Type="http://schemas.openxmlformats.org/officeDocument/2006/relationships/hyperlink" Target="https://www.guiatelefone.com/empresas/goiania-go/bairro/parque-amazonia/lanches-e-salgados/padarias-e-confeitarias" TargetMode="External" Id="rId25"/><Relationship Type="http://schemas.openxmlformats.org/officeDocument/2006/relationships/hyperlink" Target="https://applocal.com.br/empresa/panificadora-amazonia/goiania/go/11609258" TargetMode="External" Id="rId26"/><Relationship Type="http://schemas.openxmlformats.org/officeDocument/2006/relationships/hyperlink" Target="https://guiafacil.com/encontre/pet-shop/goiania/go/bairro/parque-amazonia" TargetMode="External" Id="rId27"/><Relationship Type="http://schemas.openxmlformats.org/officeDocument/2006/relationships/hyperlink" Target="https://www.guiatelefone.com/empresas/goiania-go/bairro/parque-amazonia/servicos-para-animais/pet-shop" TargetMode="External" Id="rId28"/><Relationship Type="http://schemas.openxmlformats.org/officeDocument/2006/relationships/hyperlink" Target="https://petshoppertodemim.com/e/tiu-patinhas-acoidi/" TargetMode="External" Id="rId29"/><Relationship Type="http://schemas.openxmlformats.org/officeDocument/2006/relationships/hyperlink" Target="https://petshoppertodemim.com/e/saude-animal-znvvm/" TargetMode="External" Id="rId30"/><Relationship Type="http://schemas.openxmlformats.org/officeDocument/2006/relationships/hyperlink" Target="https://www.benditoguia.com.br/empresa/saude-animal-clinica-veterinaria-parque-amazonia-goiania-go" TargetMode="External" Id="rId31"/><Relationship Type="http://schemas.openxmlformats.org/officeDocument/2006/relationships/hyperlink" Target="https://banhoetosapetpertodemim.com/e/go-pet-myytw/" TargetMode="External" Id="rId32"/><Relationship Type="http://schemas.openxmlformats.org/officeDocument/2006/relationships/hyperlink" Target="https://barbeariaspertodemim.com/e/barbearia-dos-barbudos-aweqpw/" TargetMode="External" Id="rId33"/><Relationship Type="http://schemas.openxmlformats.org/officeDocument/2006/relationships/hyperlink" Target="https://ranklevel.com.br/empresa/goiania/mundo-dos-bichos-clinica-veterinaria-e-pet-shop/" TargetMode="External" Id="rId34"/><Relationship Type="http://schemas.openxmlformats.org/officeDocument/2006/relationships/hyperlink" Target="https://www.benditoguia.com.br/empresa/bicho-legal-clinica-veterinaria-petshop-parque-amazonia-goiania-go" TargetMode="External" Id="rId35"/><Relationship Type="http://schemas.openxmlformats.org/officeDocument/2006/relationships/hyperlink" Target="https://redeoficinas.com.br/site/oficina-autop/" TargetMode="External" Id="rId36"/><Relationship Type="http://schemas.openxmlformats.org/officeDocument/2006/relationships/hyperlink" Target="https://www.enkontre.com.br/busca/goiania-go/restauracao-oficina-mecanica-lanternagem-e-pintura/setor/parque-amazonia" TargetMode="External" Id="rId37"/><Relationship Type="http://schemas.openxmlformats.org/officeDocument/2006/relationships/hyperlink" Target="https://www.econodata.com.br/maiores-empresas/go-goiania/busca-lava-jato" TargetMode="External" Id="rId38"/><Relationship Type="http://schemas.openxmlformats.org/officeDocument/2006/relationships/hyperlink" Target="https://www.benditoguia.com.br/empresa/bafo-lava-motos-parque-amazonia-goiania-go" TargetMode="External" Id="rId39"/><Relationship Type="http://schemas.openxmlformats.org/officeDocument/2006/relationships/hyperlink" Target="https://www.panobiancoparqueamazonia.com.br/" TargetMode="External" Id="rId40"/><Relationship Type="http://schemas.openxmlformats.org/officeDocument/2006/relationships/hyperlink" Target="https://wellhub.com/pt-br/search/partners/athos-academia--3/" TargetMode="External" Id="rId41"/><Relationship Type="http://schemas.openxmlformats.org/officeDocument/2006/relationships/hyperlink" Target="https://wellhub.com/pt-br/search/partners/stark-crossfit-parque-amazonia/" TargetMode="External" Id="rId42"/><Relationship Type="http://schemas.openxmlformats.org/officeDocument/2006/relationships/hyperlink" Target="https://wellhub.com/pt-br/search/partners/play-fitness-parque-amazonia-goiania/" TargetMode="External" Id="rId43"/><Relationship Type="http://schemas.openxmlformats.org/officeDocument/2006/relationships/hyperlink" Target="https://navi.fitness/" TargetMode="External" Id="rId44"/><Relationship Type="http://schemas.openxmlformats.org/officeDocument/2006/relationships/hyperlink" Target="https://www.benditoguia.com.br/empresa/carpe-diem-studio-pilates-e-crossfit-parque-amazonia-goiania-go" TargetMode="External" Id="rId45"/><Relationship Type="http://schemas.openxmlformats.org/officeDocument/2006/relationships/hyperlink" Target="https://cadeodentista.com.br/clinica/clinica-saude-odontologia-goiania-go" TargetMode="External" Id="rId46"/><Relationship Type="http://schemas.openxmlformats.org/officeDocument/2006/relationships/hyperlink" Target="https://dentmap.com.br/dentistas/goiania/odonto-amazonas-8437a1a3" TargetMode="External" Id="rId47"/><Relationship Type="http://schemas.openxmlformats.org/officeDocument/2006/relationships/hyperlink" Target="https://www.tudoaquisaude.com.br/goiania-go/parque-amazonia/medicos-e-clinicas" TargetMode="External" Id="rId48"/><Relationship Type="http://schemas.openxmlformats.org/officeDocument/2006/relationships/hyperlink" Target="https://goiania.infoisinfo-br.com/busca/clinica-odontologica" TargetMode="External" Id="rId49"/><Relationship Type="http://schemas.openxmlformats.org/officeDocument/2006/relationships/hyperlink" Target="https://www.oticasbrasil.com.br/p/lojas" TargetMode="External" Id="rId50"/><Relationship Type="http://schemas.openxmlformats.org/officeDocument/2006/relationships/hyperlink" Target="https://goiania.infoisinfo-br.com/busca/lojas-roupas-e-outros" TargetMode="External" Id="rId51"/><Relationship Type="http://schemas.openxmlformats.org/officeDocument/2006/relationships/hyperlink" Target="https://www.diariocidade.com/go/goiania/guia/lojas-de-roupas/pg-69/" TargetMode="External" Id="rId52"/><Relationship Type="http://schemas.openxmlformats.org/officeDocument/2006/relationships/hyperlink" Target="https://www.benditoguia.com.br/empresa/comercial-carlos-parque-amazonia-goiania-go" TargetMode="External" Id="rId53"/><Relationship Type="http://schemas.openxmlformats.org/officeDocument/2006/relationships/hyperlink" Target="https://www.instagram.com/vicenttbarbearia/" TargetMode="External" Id="rId54"/><Relationship Type="http://schemas.openxmlformats.org/officeDocument/2006/relationships/hyperlink" Target="https://www.trinks.com/vicentt-barbearia-1" TargetMode="External" Id="rId55"/><Relationship Type="http://schemas.openxmlformats.org/officeDocument/2006/relationships/hyperlink" Target="https://booksy.com/pt-br/140369_guzz-barbearia_barbearias_392563_goiania" TargetMode="External" Id="rId56"/><Relationship Type="http://schemas.openxmlformats.org/officeDocument/2006/relationships/hyperlink" Target="https://www.facebook.com/p/Prime-Beauty-Lounge-62-61557054604045/" TargetMode="External" Id="rId57"/><Relationship Type="http://schemas.openxmlformats.org/officeDocument/2006/relationships/hyperlink" Target="https://www.telelistas.net/locais/go/goiania/cabeleireiros+e+institutos+de+beleza/bu-189819/palazzo+santana+em+parque+amazonia" TargetMode="External" Id="rId58"/><Relationship Type="http://schemas.openxmlformats.org/officeDocument/2006/relationships/hyperlink" Target="https://www.rappi.com.br/restaurantes/900689410-dg-burger-parque-amazonia" TargetMode="External" Id="rId59"/><Relationship Type="http://schemas.openxmlformats.org/officeDocument/2006/relationships/hyperlink" Target="https://www.trinks.com/pose-buriti-shopping" TargetMode="External" Id="rId60"/><Relationship Type="http://schemas.openxmlformats.org/officeDocument/2006/relationships/hyperlink" Target="https://www.trinks.com/santa-barba" TargetMode="External" Id="rId61"/><Relationship Type="http://schemas.openxmlformats.org/officeDocument/2006/relationships/hyperlink" Target="https://www.econodata.com.br/empresas/go-aparecida-de-goiania/busca-barbearia" TargetMode="External" Id="rId62"/><Relationship Type="http://schemas.openxmlformats.org/officeDocument/2006/relationships/hyperlink" Target="https://www.trinks.com/barbearia-daniel-school" TargetMode="External" Id="rId63"/><Relationship Type="http://schemas.openxmlformats.org/officeDocument/2006/relationships/hyperlink" Target="https://www.trinks.com/studio-poliana-maia" TargetMode="External" Id="rId64"/><Relationship Type="http://schemas.openxmlformats.org/officeDocument/2006/relationships/hyperlink" Target="https://criativapapelariabolsas.com.br/localizacao/" TargetMode="External" Id="rId65"/><Relationship Type="http://schemas.openxmlformats.org/officeDocument/2006/relationships/hyperlink" Target="https://www.biglarutilidades.com.br/nossas-lojas" TargetMode="External" Id="rId66"/><Relationship Type="http://schemas.openxmlformats.org/officeDocument/2006/relationships/hyperlink" Target="https://www.tripadvisor.com/Restaurant_Review-g2342764-d11910781-Reviews-Acai_Express_Garavelo-Aparecida_De_Goiania_State_of_Goias.html" TargetMode="External" Id="rId67"/><Relationship Type="http://schemas.openxmlformats.org/officeDocument/2006/relationships/hyperlink" Target="https://cardapio.menu/restaurants/aparecida-de-goiania/acai-express-garavelo" TargetMode="External" Id="rId68"/><Relationship Type="http://schemas.openxmlformats.org/officeDocument/2006/relationships/hyperlink" Target="https://www.sluurpy.com.br/aparecida-de-goi%C3%A2nia/restaurante/1433161/sorveteria-mec-milk" TargetMode="External" Id="rId69"/><Relationship Type="http://schemas.openxmlformats.org/officeDocument/2006/relationships/hyperlink" Target="https://www.tripadvisor.com/Restaurant_Review-g2342764-d4538135-Reviews-Cacau_Show-Aparecida_De_Goiania_State_of_Goias.html" TargetMode="External" Id="rId70"/><Relationship Type="http://schemas.openxmlformats.org/officeDocument/2006/relationships/hyperlink" Target="https://www.diariocidade.com/go/aparecida-de-goiania/guia/garavelo-restaurante-07603671000196/" TargetMode="External" Id="rId71"/><Relationship Type="http://schemas.openxmlformats.org/officeDocument/2006/relationships/hyperlink" Target="https://www.solutudo.com.br/empresas/go/aparecida-goiania/restaurantes" TargetMode="External" Id="rId72"/><Relationship Type="http://schemas.openxmlformats.org/officeDocument/2006/relationships/hyperlink" Target="https://aparecida-de-goiania.infoisinfo-br.com/busca/restaurante" TargetMode="External" Id="rId73"/><Relationship Type="http://schemas.openxmlformats.org/officeDocument/2006/relationships/hyperlink" Target="https://diretoriobrasil.net/lista/?atv=s&amp;c=9227&amp;e=9&amp;g=56112&amp;p=11&amp;sigla=go" TargetMode="External" Id="rId74"/><Relationship Type="http://schemas.openxmlformats.org/officeDocument/2006/relationships/hyperlink" Target="https://www.telelistas.net/go/aparecida+de+goiania/em+setor+garavelo/restaurantes" TargetMode="External" Id="rId75"/><Relationship Type="http://schemas.openxmlformats.org/officeDocument/2006/relationships/hyperlink" Target="https://booksy.com/pt-br/s/barbearias/386151_aparecida-de-goiania" TargetMode="External" Id="rId76"/><Relationship Type="http://schemas.openxmlformats.org/officeDocument/2006/relationships/hyperlink" Target="https://www.guiatelefone.com/empresas/aparecida-de-goiania-go/servicos-para-animais/pet-shop" TargetMode="External" Id="rId77"/><Relationship Type="http://schemas.openxmlformats.org/officeDocument/2006/relationships/hyperlink" Target="https://www.econodata.com.br/consulta-empresa/34248620000166-clinica-veterinaria-faro-ltda" TargetMode="External" Id="rId78"/><Relationship Type="http://schemas.openxmlformats.org/officeDocument/2006/relationships/hyperlink" Target="https://www.telelistas.net/locais/go/aparecida+de+goiania/clinicas+e+hospitais+veterinarios/bu-5047527/clinica+veterinaria+faro+em+setor+garavelo" TargetMode="External" Id="rId79"/><Relationship Type="http://schemas.openxmlformats.org/officeDocument/2006/relationships/hyperlink" Target="https://www.solutudo.com.br/empresas/go/aparecida-goiania/clinicas+veterinarias" TargetMode="External" Id="rId80"/><Relationship Type="http://schemas.openxmlformats.org/officeDocument/2006/relationships/hyperlink" Target="https://petshoppertodemim.com/e/animalandia-pet-shop-atkiqw/" TargetMode="External" Id="rId81"/><Relationship Type="http://schemas.openxmlformats.org/officeDocument/2006/relationships/hyperlink" Target="https://setor-garavelo-go.mybrazilinfo.com/pet-store/" TargetMode="External" Id="rId82"/><Relationship Type="http://schemas.openxmlformats.org/officeDocument/2006/relationships/hyperlink" Target="https://setor-garavelo-go.mybrazilinfo.com/sorridents-garavelo/" TargetMode="External" Id="rId83"/><Relationship Type="http://schemas.openxmlformats.org/officeDocument/2006/relationships/hyperlink" Target="https://setor-garavelo-go.mybrazilinfo.com/drogaria-drogalu/" TargetMode="External" Id="rId84"/><Relationship Type="http://schemas.openxmlformats.org/officeDocument/2006/relationships/hyperlink" Target="https://setor-garavelo-go.mybrazilinfo.com/iso-clinica-unidade-garavelo/" TargetMode="External" Id="rId85"/><Relationship Type="http://schemas.openxmlformats.org/officeDocument/2006/relationships/hyperlink" Target="https://setor-garavelo-go.mybrazilinfo.com/utramed-clinica-medica/" TargetMode="External" Id="rId86"/><Relationship Type="http://schemas.openxmlformats.org/officeDocument/2006/relationships/hyperlink" Target="https://setor-garavelo-go.mybrazilinfo.com/isodonto-cais/" TargetMode="External" Id="rId87"/><Relationship Type="http://schemas.openxmlformats.org/officeDocument/2006/relationships/hyperlink" Target="https://setor-garavelo-go.mybrazilinfo.com/isodonto-avenida-igualdade/" TargetMode="External" Id="rId88"/><Relationship Type="http://schemas.openxmlformats.org/officeDocument/2006/relationships/hyperlink" Target="https://setor-garavelo-residencial-park-go.mybrazilinfo.com/dr-atende-ja-clinica-popular/" TargetMode="External" Id="rId89"/><Relationship Type="http://schemas.openxmlformats.org/officeDocument/2006/relationships/hyperlink" Target="https://casadosdados.com.br/solucao/cep/go/aparecida-de-goiania/vila-sao-tomaz/avenida-rio-verde-sn-quadra-102-104-buriti-shopping-74915906" TargetMode="External" Id="rId90"/><Relationship Type="http://schemas.openxmlformats.org/officeDocument/2006/relationships/hyperlink" Target="https://www.apontador.com.br/local/go/aparecida_de_goiania/cosmeticos/38J89J37/paraiso_dos_cosmeticos_s_garavelo.html" TargetMode="External" Id="rId91"/><Relationship Type="http://schemas.openxmlformats.org/officeDocument/2006/relationships/hyperlink" Target="https://www.trinks.com/allure-nails-01" TargetMode="External" Id="rId92"/><Relationship Type="http://schemas.openxmlformats.org/officeDocument/2006/relationships/hyperlink" Target="https://listatudo.com.br/parque-amazonia-goiania/hospitais-e-clinicas-medicina-e-saude/" TargetMode="External" Id="rId93"/><Relationship Type="http://schemas.openxmlformats.org/officeDocument/2006/relationships/hyperlink" Target="https://goias.gov.br/policiacivil/wp-content/uploads/sites/71/2025/03/planilha-enderecos-e-postos-atualizada-2eca40fc90a0423c92d618d0de313cdb.pdf" TargetMode="External" Id="rId94"/><Relationship Type="http://schemas.openxmlformats.org/officeDocument/2006/relationships/hyperlink" Target="https://www.uber.com/br/pt-br/r/cities/taxi/goiania-go-br/" TargetMode="External" Id="rId95"/><Relationship Type="http://schemas.openxmlformats.org/officeDocument/2006/relationships/hyperlink" Target="https://www.uber.com/pt-BR/blog/goiania/aparecida-goiania-lancamento-uber" TargetMode="External" Id="rId96"/><Relationship Type="http://schemas.openxmlformats.org/officeDocument/2006/relationships/hyperlink" Target="https://portal6.com.br/2025/06/20/morador-se-surpreende-com-diferenca-de-precos-entre-uber-e-99-para-o-mesmo-destino-em-goiania/" TargetMode="External" Id="rId97"/><Relationship Type="http://schemas.openxmlformats.org/officeDocument/2006/relationships/hyperlink" Target="https://moovitapp.com/index/en/public_transit-Setor_Garavelo-Goiania-site_18075751-1482" TargetMode="External" Id="rId98"/><Relationship Type="http://schemas.openxmlformats.org/officeDocument/2006/relationships/hyperlink" Target="https://goias.gov.br/turismo/aparecida-de-goiania/" TargetMode="External" Id="rId99"/><Relationship Type="http://schemas.openxmlformats.org/officeDocument/2006/relationships/hyperlink" Target="https://curtamais.com.br/goiania/lugares-e-turistar-em-aparecida/" TargetMode="External" Id="rId100"/><Relationship Type="http://schemas.openxmlformats.org/officeDocument/2006/relationships/hyperlink" Target="https://cepbrasil.org/goias/goiania/parque-amazonia/74835970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0" customWidth="1" min="3" max="3"/>
    <col width="7" customWidth="1" min="4" max="4"/>
    <col width="8" customWidth="1" min="5" max="5"/>
    <col width="26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1" customWidth="1" min="12" max="12"/>
    <col width="12" customWidth="1" min="13" max="13"/>
  </cols>
  <sheetData>
    <row r="1">
      <c r="A1" s="1" t="inlineStr">
        <is>
          <t>Prospecção presencial – placas NFC de avaliação Google (R$ 69,90)</t>
        </is>
      </c>
    </row>
    <row r="2">
      <c r="A2" t="inlineStr">
        <is>
          <t>Partida: Av. Alexandre de Morais, Qd. 20, Lt. 07, Parque Amazônia, Goiânia - GO, 74840-300  (Plus Code 7P6F+9P → -16.739062,-49.275687)</t>
        </is>
      </c>
    </row>
    <row r="3">
      <c r="A3" t="inlineStr">
        <is>
          <t>Gerado em 27/10/2026. Notas e quantidades de avaliações no Google NÃO foram verificadas (Google Maps bloqueado no ambiente). Distâncias e tempos a pé são estimativas.</t>
        </is>
      </c>
    </row>
    <row r="5">
      <c r="A5" s="2" t="inlineStr">
        <is>
          <t>Dia</t>
        </is>
      </c>
      <c r="B5" s="2" t="inlineStr">
        <is>
          <t>Região</t>
        </is>
      </c>
      <c r="C5" s="2" t="inlineStr">
        <is>
          <t>Visitas planejadas</t>
        </is>
      </c>
      <c r="D5" s="2" t="inlineStr">
        <is>
          <t>Meta</t>
        </is>
      </c>
      <c r="E5" s="2" t="inlineStr">
        <is>
          <t>Faltam</t>
        </is>
      </c>
      <c r="F5" s="2" t="inlineStr">
        <is>
          <t>Transporte</t>
        </is>
      </c>
      <c r="G5" s="2" t="inlineStr">
        <is>
          <t>Tempo total – enxuto</t>
        </is>
      </c>
      <c r="H5" s="2" t="inlineStr">
        <is>
          <t>Tempo total – realista</t>
        </is>
      </c>
      <c r="I5" s="2" t="inlineStr">
        <is>
          <t>Fim previsto (realista)</t>
        </is>
      </c>
      <c r="J5" s="2" t="inlineStr">
        <is>
          <t>Caminhada estimada</t>
        </is>
      </c>
      <c r="K5" s="2" t="inlineStr">
        <is>
          <t>Vendidos</t>
        </is>
      </c>
      <c r="L5" s="2" t="inlineStr">
        <is>
          <t>Interessados</t>
        </is>
      </c>
      <c r="M5" s="2" t="inlineStr">
        <is>
          <t>Visitados (≠ Não visitado)</t>
        </is>
      </c>
    </row>
    <row r="6">
      <c r="A6" s="3" t="inlineStr">
        <is>
          <t>Terça-feira, 27/10/2026</t>
        </is>
      </c>
      <c r="B6" s="3" t="inlineStr">
        <is>
          <t>Sul do Parque Amazônia: Av. Alexandre de Morais, Av. Laguna, Av. Rio Verde, Av. Rio Negro e R. Igapó</t>
        </is>
      </c>
      <c r="C6" s="3" t="n">
        <v>28</v>
      </c>
      <c r="D6" s="3" t="n">
        <v>30</v>
      </c>
      <c r="E6" s="3" t="n">
        <v>2</v>
      </c>
      <c r="F6" s="3" t="inlineStr">
        <is>
          <t>A pé (R$ 0)</t>
        </is>
      </c>
      <c r="G6" s="3" t="inlineStr">
        <is>
          <t>5h41</t>
        </is>
      </c>
      <c r="H6" s="3" t="inlineStr">
        <is>
          <t>9h34</t>
        </is>
      </c>
      <c r="I6" s="3" t="inlineStr">
        <is>
          <t>19:05</t>
        </is>
      </c>
      <c r="J6" s="3" t="inlineStr">
        <is>
          <t>3.8–12.6 km</t>
        </is>
      </c>
      <c r="K6">
        <f>COUNTIF('Terça 27-10'!Y2:Y29,"Vendido")</f>
        <v/>
      </c>
      <c r="L6">
        <f>COUNTIF('Terça 27-10'!Y2:Y29,"Interessado – retornar")</f>
        <v/>
      </c>
      <c r="M6">
        <f>COUNTA('Terça 27-10'!Y2:Y29)-COUNTIF('Terça 27-10'!Y2:Y29,"Não visitado")</f>
        <v/>
      </c>
    </row>
    <row r="7">
      <c r="A7" s="3" t="inlineStr">
        <is>
          <t>Quarta-feira, 28/10/2026</t>
        </is>
      </c>
      <c r="B7" s="3" t="inlineStr">
        <is>
          <t>Centro e norte do Parque Amazônia: Av. JRM Neto, Praça da Feira, R. Anhangá/Tambuqui, Av. Dona Terezinha, Av. T-15, Av. Feira de Santana</t>
        </is>
      </c>
      <c r="C7" s="3" t="n">
        <v>30</v>
      </c>
      <c r="D7" s="3" t="n">
        <v>30</v>
      </c>
      <c r="E7" s="3" t="n">
        <v>0</v>
      </c>
      <c r="F7" s="3" t="inlineStr">
        <is>
          <t>A pé (R$ 0); Uber de volta só se necessário (reserva)</t>
        </is>
      </c>
      <c r="G7" s="3" t="inlineStr">
        <is>
          <t>6h37</t>
        </is>
      </c>
      <c r="H7" s="3" t="inlineStr">
        <is>
          <t>10h02</t>
        </is>
      </c>
      <c r="I7" s="3" t="inlineStr">
        <is>
          <t>18:31</t>
        </is>
      </c>
      <c r="J7" s="3" t="inlineStr">
        <is>
          <t>5.9–16.9 km</t>
        </is>
      </c>
      <c r="K7">
        <f>COUNTIF('Quarta 28-10'!Y2:Y31,"Vendido")</f>
        <v/>
      </c>
      <c r="L7">
        <f>COUNTIF('Quarta 28-10'!Y2:Y31,"Interessado – retornar")</f>
        <v/>
      </c>
      <c r="M7">
        <f>COUNTA('Quarta 28-10'!Y2:Y31)-COUNTIF('Quarta 28-10'!Y2:Y31,"Não visitado")</f>
        <v/>
      </c>
    </row>
    <row r="8">
      <c r="A8" s="3" t="inlineStr">
        <is>
          <t>Quinta-feira, 29/10/2026</t>
        </is>
      </c>
      <c r="B8" s="3" t="inlineStr">
        <is>
          <t>Setor Garavelo (Aparecida de Goiânia): Av. da Igualdade + Av. da Paz/Av. dos Democratas</t>
        </is>
      </c>
      <c r="C8" s="3" t="n">
        <v>30</v>
      </c>
      <c r="D8" s="3" t="n">
        <v>30</v>
      </c>
      <c r="E8" s="3" t="n">
        <v>0</v>
      </c>
      <c r="F8" s="3" t="inlineStr">
        <is>
          <t>Uber ida e volta (estimativa R$ 30–50)</t>
        </is>
      </c>
      <c r="G8" s="3" t="inlineStr">
        <is>
          <t>6h46</t>
        </is>
      </c>
      <c r="H8" s="3" t="inlineStr">
        <is>
          <t>10h11</t>
        </is>
      </c>
      <c r="I8" s="3" t="inlineStr">
        <is>
          <t>18:11</t>
        </is>
      </c>
      <c r="J8" s="3" t="inlineStr">
        <is>
          <t>3.5–13.1 km</t>
        </is>
      </c>
      <c r="K8">
        <f>COUNTIF('Quinta 29-10'!Y2:Y31,"Vendido")</f>
        <v/>
      </c>
      <c r="L8">
        <f>COUNTIF('Quinta 29-10'!Y2:Y31,"Interessado – retornar")</f>
        <v/>
      </c>
      <c r="M8">
        <f>COUNTA('Quinta 29-10'!Y2:Y31)-COUNTIF('Quinta 29-10'!Y2:Y31,"Não visitado")</f>
        <v/>
      </c>
    </row>
    <row r="9">
      <c r="A9" s="4" t="inlineStr">
        <is>
          <t>Total</t>
        </is>
      </c>
      <c r="C9">
        <f>SUM(C6:C8)</f>
        <v/>
      </c>
      <c r="D9" t="n">
        <v>90</v>
      </c>
      <c r="E9">
        <f>D9-C9</f>
        <v/>
      </c>
      <c r="K9">
        <f>SUM(K6:K8)</f>
        <v/>
      </c>
      <c r="L9">
        <f>SUM(L6:L8)</f>
        <v/>
      </c>
      <c r="M9">
        <f>SUM(M6:M8)</f>
        <v/>
      </c>
    </row>
    <row r="11">
      <c r="A11" s="4" t="inlineStr">
        <is>
          <t>Uber planejado (R$)</t>
        </is>
      </c>
      <c r="B11" t="n">
        <v>50</v>
      </c>
    </row>
    <row r="12">
      <c r="A12" s="4" t="inlineStr">
        <is>
          <t>Reserva p/ variação de preço (R$)</t>
        </is>
      </c>
      <c r="B12" t="n">
        <v>30</v>
      </c>
    </row>
    <row r="13">
      <c r="A13" s="4" t="inlineStr">
        <is>
          <t>Teto (R$)</t>
        </is>
      </c>
      <c r="B13" t="n">
        <v>80</v>
      </c>
    </row>
    <row r="15">
      <c r="A15" s="4" t="inlineStr">
        <is>
          <t>Receita se vender X placas (R$ 69,90):</t>
        </is>
      </c>
      <c r="B15">
        <f>K9*69.9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Terça-feira, 27/10/2026</t>
        </is>
      </c>
      <c r="B2" s="3" t="n">
        <v>1</v>
      </c>
      <c r="C2" s="3" t="inlineStr">
        <is>
          <t>Comercial Carlos</t>
        </is>
      </c>
      <c r="D2" s="3" t="inlineStr">
        <is>
          <t>Utilidades domésticas</t>
        </is>
      </c>
      <c r="E2" s="3" t="inlineStr">
        <is>
          <t>Av. Sen. José Rodrigues de Morais Neto, 2516 (CEP 74840-300)</t>
        </is>
      </c>
      <c r="F2" s="3" t="inlineStr">
        <is>
          <t>Parque Amazônia</t>
        </is>
      </c>
      <c r="G2" s="3" t="inlineStr">
        <is>
          <t>Goiânia</t>
        </is>
      </c>
      <c r="H2" s="3" t="inlineStr">
        <is>
          <t>(62) 3637-8134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71</v>
      </c>
      <c r="P2" s="3" t="inlineStr">
        <is>
          <t>Encaixe 22/35 · Decisor 18/20 · Evidência 8/20 · Balcão 9/10 · Rota 14/15</t>
        </is>
      </c>
      <c r="Q2" s="3" t="inlineStr">
        <is>
          <t>Loja de bairro com balcão e caixa; dono costuma estar presente.</t>
        </is>
      </c>
      <c r="R2" s="3" t="inlineStr">
        <is>
          <t>Fraca: 1 diretório</t>
        </is>
      </c>
      <c r="S2" s="3" t="inlineStr">
        <is>
          <t>https://www.benditoguia.com.br/empresa/comercial-carlos-parque-amazonia-goiania-go</t>
        </is>
      </c>
      <c r="T2" s="3" t="inlineStr">
        <is>
          <t>≈ 1–11 min a pé (estimativa)</t>
        </is>
      </c>
      <c r="U2" s="3" t="inlineStr">
        <is>
          <t>≈ 100–800 m (estimativa; rota não verificada)</t>
        </is>
      </c>
      <c r="V2" s="3" t="inlineStr">
        <is>
          <t>5–10 min</t>
        </is>
      </c>
      <c r="W2" s="3" t="inlineStr">
        <is>
          <t>9h–12h ou 14h–17h</t>
        </is>
      </c>
      <c r="X2" s="3" t="inlineStr">
        <is>
          <t>09:36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Terça-feira, 27/10/2026</t>
        </is>
      </c>
      <c r="B3" s="3" t="n">
        <v>2</v>
      </c>
      <c r="C3" s="3" t="inlineStr">
        <is>
          <t>Agrobessa Pet Shop</t>
        </is>
      </c>
      <c r="D3" s="3" t="inlineStr">
        <is>
          <t>Pet shop (rações, banho e tosa)</t>
        </is>
      </c>
      <c r="E3" s="3" t="inlineStr">
        <is>
          <t>Av. Alexandre de Morais, Qd. 13, Lt. 02E</t>
        </is>
      </c>
      <c r="F3" s="3" t="inlineStr">
        <is>
          <t>Parque Amazônia</t>
        </is>
      </c>
      <c r="G3" s="3" t="inlineStr">
        <is>
          <t>Goiânia</t>
        </is>
      </c>
      <c r="H3" s="3" t="inlineStr">
        <is>
          <t>(62) 3548-1260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85</v>
      </c>
      <c r="P3" s="3" t="inlineStr">
        <is>
          <t>Encaixe 31/35 · Decisor 18/20 · Evidência 13/20 · Balcão 9/10 · Rota 14/15</t>
        </is>
      </c>
      <c r="Q3" s="3" t="inlineStr">
        <is>
          <t>Pet shop de bairro com balcão e clientela recorrente; banho e tosa geram retorno frequente.</t>
        </is>
      </c>
      <c r="R3" s="3" t="inlineStr">
        <is>
          <t>Média: 3 diretórios com o mesmo endereço</t>
        </is>
      </c>
      <c r="S3" s="3" t="inlineStr">
        <is>
          <t>https://www.guiamais.com.br/goiania-go/servicos-para-animais/pet-shop/12126917-11/agrobessa-pet-shop | https://www.apontador.com.br/local/go/goiania/pet_shops/98J65Y94/agrobessa.html | https://www.telelistas.net/locais/go/goiania/pet+shops/bu-3625753/agrobessa+em+parque+amazonia</t>
        </is>
      </c>
      <c r="T3" s="3" t="inlineStr">
        <is>
          <t>≈ 3–11 min a pé (estimativa)</t>
        </is>
      </c>
      <c r="U3" s="3" t="inlineStr">
        <is>
          <t>≈ 200–800 m (estimativa; rota não verificada)</t>
        </is>
      </c>
      <c r="V3" s="3" t="inlineStr">
        <is>
          <t>6–12 min</t>
        </is>
      </c>
      <c r="W3" s="3" t="inlineStr">
        <is>
          <t>8h30–11h30 ou 14h–16h30</t>
        </is>
      </c>
      <c r="X3" s="3" t="inlineStr">
        <is>
          <t>09:54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Terça-feira, 27/10/2026</t>
        </is>
      </c>
      <c r="B4" s="3" t="n">
        <v>3</v>
      </c>
      <c r="C4" s="3" t="inlineStr">
        <is>
          <t>Odonto Rassi</t>
        </is>
      </c>
      <c r="D4" s="3" t="inlineStr">
        <is>
          <t>Clínica odontológica</t>
        </is>
      </c>
      <c r="E4" s="3" t="inlineStr">
        <is>
          <t>Av. Alexandre de Morais, s/n, Qd. 13, Lt. 04</t>
        </is>
      </c>
      <c r="F4" s="3" t="inlineStr">
        <is>
          <t>Parque Amazônia</t>
        </is>
      </c>
      <c r="G4" s="3" t="inlineStr">
        <is>
          <t>Goiânia</t>
        </is>
      </c>
      <c r="H4" s="3" t="inlineStr">
        <is>
          <t>não confirmado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—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74</v>
      </c>
      <c r="P4" s="3" t="inlineStr">
        <is>
          <t>Encaixe 26/35 · Decisor 18/20 · Evidência 8/20 · Balcão 8/10 · Rota 14/15</t>
        </is>
      </c>
      <c r="Q4" s="3" t="inlineStr">
        <is>
          <t>Recepção com fluxo de pacientes; avaliações pesam na escolha de dentista.</t>
        </is>
      </c>
      <c r="R4" s="3" t="inlineStr">
        <is>
          <t>Fraca: diretórios; outra fonte cita nº 77 (divergência)</t>
        </is>
      </c>
      <c r="S4" s="3" t="inlineStr">
        <is>
          <t>https://listatudo.com.br/parque-amazonia-goiania/hospitais-e-clinicas-medicina-e-saude/ | https://goiania.infoisinfo-br.com/busca/clinica-odontologica</t>
        </is>
      </c>
      <c r="T4" s="3" t="inlineStr">
        <is>
          <t>≈ 0–1 min a pé (estimativa)</t>
        </is>
      </c>
      <c r="U4" s="3" t="inlineStr">
        <is>
          <t>≈ 0–60 m (estimativa; rota não verificada)</t>
        </is>
      </c>
      <c r="V4" s="3" t="inlineStr">
        <is>
          <t>4–10 min (recepção; peça o responsável)</t>
        </is>
      </c>
      <c r="W4" s="3" t="inlineStr">
        <is>
          <t>8h30–11h30 ou 14h–17h</t>
        </is>
      </c>
      <c r="X4" s="3" t="inlineStr">
        <is>
          <t>10:07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Terça-feira, 27/10/2026</t>
        </is>
      </c>
      <c r="B5" s="3" t="n">
        <v>4</v>
      </c>
      <c r="C5" s="3" t="inlineStr">
        <is>
          <t>Francesinha Esmalteria</t>
        </is>
      </c>
      <c r="D5" s="3" t="inlineStr">
        <is>
          <t>Esmalteria</t>
        </is>
      </c>
      <c r="E5" s="3" t="inlineStr">
        <is>
          <t>Av. Alexandre de Morais, Qd. 13, Lt. 04</t>
        </is>
      </c>
      <c r="F5" s="3" t="inlineStr">
        <is>
          <t>Parque Amazônia</t>
        </is>
      </c>
      <c r="G5" s="3" t="inlineStr">
        <is>
          <t>Goiânia</t>
        </is>
      </c>
      <c r="H5" s="3" t="inlineStr">
        <is>
          <t>(62) 3584-6978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82</v>
      </c>
      <c r="P5" s="3" t="inlineStr">
        <is>
          <t>Encaixe 33/35 · Decisor 18/20 · Evidência 8/20 · Balcão 9/10 · Rota 14/15</t>
        </is>
      </c>
      <c r="Q5" s="3" t="inlineStr">
        <is>
          <t>Esmalteria: atendimento longo e cliente fiel; placa no balcão de pagamento.</t>
        </is>
      </c>
      <c r="R5" s="3" t="inlineStr">
        <is>
          <t>Fraca: 1 diretório (GuiaTelefone)</t>
        </is>
      </c>
      <c r="S5" s="3" t="inlineStr">
        <is>
          <t>https://www.guiatelefone.com/empresas/goiania-go/bairro/parque-amazonia/institutos-de-beleza/saloes-de-beleza-e-cabeleireiros</t>
        </is>
      </c>
      <c r="T5" s="3" t="inlineStr">
        <is>
          <t>≈ 0–1 min a pé (estimativa)</t>
        </is>
      </c>
      <c r="U5" s="3" t="inlineStr">
        <is>
          <t>≈ 0–30 m (estimativa; rota não verificada)</t>
        </is>
      </c>
      <c r="V5" s="3" t="inlineStr">
        <is>
          <t>6–15 min (pode haver cliente em atendimento)</t>
        </is>
      </c>
      <c r="W5" s="3" t="inlineStr">
        <is>
          <t>9h–11h ou 14h–16h</t>
        </is>
      </c>
      <c r="X5" s="3" t="inlineStr">
        <is>
          <t>10:19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Terça-feira, 27/10/2026</t>
        </is>
      </c>
      <c r="B6" s="3" t="n">
        <v>5</v>
      </c>
      <c r="C6" s="3" t="inlineStr">
        <is>
          <t>Pizzaria e Churrascaria Dom Richi</t>
        </is>
      </c>
      <c r="D6" s="3" t="inlineStr">
        <is>
          <t>Pizzaria / churrascaria</t>
        </is>
      </c>
      <c r="E6" s="3" t="inlineStr">
        <is>
          <t>Av. Alexandre de Morais, Qd. 9, Lt. 7</t>
        </is>
      </c>
      <c r="F6" s="3" t="inlineStr">
        <is>
          <t>Parque Amazônia</t>
        </is>
      </c>
      <c r="G6" s="3" t="inlineStr">
        <is>
          <t>Goiânia</t>
        </is>
      </c>
      <c r="H6" s="3" t="inlineStr">
        <is>
          <t>(62) 3280-0997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—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80</v>
      </c>
      <c r="P6" s="3" t="inlineStr">
        <is>
          <t>Encaixe 31/35 · Decisor 18/20 · Evidência 8/20 · Balcão 9/10 · Rota 14/15</t>
        </is>
      </c>
      <c r="Q6" s="3" t="inlineStr">
        <is>
          <t>Restaurante com caixa; visitar antes do almoço (preparo) para pegar o dono.</t>
        </is>
      </c>
      <c r="R6" s="3" t="inlineStr">
        <is>
          <t>Fraca: 1 diretório (GuiaTelefone)</t>
        </is>
      </c>
      <c r="S6" s="3" t="inlineStr">
        <is>
          <t>https://www.guiatelefone.com/empresas/goiania-go/bairro/parque-amazonia/restaurantes/restaurante</t>
        </is>
      </c>
      <c r="T6" s="3" t="inlineStr">
        <is>
          <t>≈ 2–7 min a pé (estimativa)</t>
        </is>
      </c>
      <c r="U6" s="3" t="inlineStr">
        <is>
          <t>≈ 150–500 m (estimativa; rota não verificada)</t>
        </is>
      </c>
      <c r="V6" s="3" t="inlineStr">
        <is>
          <t>5–12 min (fora do pico)</t>
        </is>
      </c>
      <c r="W6" s="3" t="inlineStr">
        <is>
          <t>9h30–11h ou 14h30–16h30</t>
        </is>
      </c>
      <c r="X6" s="3" t="inlineStr">
        <is>
          <t>10:35</t>
        </is>
      </c>
      <c r="Y6" s="3" t="inlineStr">
        <is>
          <t>Não visitado</t>
        </is>
      </c>
      <c r="Z6" s="3" t="inlineStr"/>
      <c r="AA6" s="3" t="inlineStr">
        <is>
          <t>Depois desta visita: Pausa: água/descanso (15 min)</t>
        </is>
      </c>
      <c r="AB6" s="3" t="inlineStr">
        <is>
          <t>Confirmar existência e falar com o responsável</t>
        </is>
      </c>
    </row>
    <row r="7">
      <c r="A7" s="3" t="inlineStr">
        <is>
          <t>Terça-feira, 27/10/2026</t>
        </is>
      </c>
      <c r="B7" s="3" t="n">
        <v>6</v>
      </c>
      <c r="C7" s="3" t="inlineStr">
        <is>
          <t>Prime Beauty Lounge 62</t>
        </is>
      </c>
      <c r="D7" s="3" t="inlineStr">
        <is>
          <t>Salão unissex com barbearia</t>
        </is>
      </c>
      <c r="E7" s="3" t="inlineStr">
        <is>
          <t>Av. Laguna, 239, Qd. 15, Lt. 01, Sala 02</t>
        </is>
      </c>
      <c r="F7" s="3" t="inlineStr">
        <is>
          <t>Parque Amazônia</t>
        </is>
      </c>
      <c r="G7" s="3" t="inlineStr">
        <is>
          <t>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87</v>
      </c>
      <c r="P7" s="3" t="inlineStr">
        <is>
          <t>Encaixe 33/35 · Decisor 18/20 · Evidência 13/20 · Balcão 9/10 · Rota 14/15</t>
        </is>
      </c>
      <c r="Q7" s="3" t="inlineStr">
        <is>
          <t>Salão + barbearia: dois públicos, giro alto de clientes.</t>
        </is>
      </c>
      <c r="R7" s="3" t="inlineStr">
        <is>
          <t>Média: página própria no Facebook</t>
        </is>
      </c>
      <c r="S7" s="3" t="inlineStr">
        <is>
          <t>https://www.facebook.com/p/Prime-Beauty-Lounge-62-61557054604045/</t>
        </is>
      </c>
      <c r="T7" s="3" t="inlineStr">
        <is>
          <t>≈ 2–7 min a pé (estimativa)</t>
        </is>
      </c>
      <c r="U7" s="3" t="inlineStr">
        <is>
          <t>≈ 150–500 m (estimativa; rota não verificada)</t>
        </is>
      </c>
      <c r="V7" s="3" t="inlineStr">
        <is>
          <t>6–15 min (pode haver cliente em atendimento)</t>
        </is>
      </c>
      <c r="W7" s="3" t="inlineStr">
        <is>
          <t>9h–11h ou 14h–16h</t>
        </is>
      </c>
      <c r="X7" s="3" t="inlineStr">
        <is>
          <t>11:06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Terça-feira, 27/10/2026</t>
        </is>
      </c>
      <c r="B8" s="3" t="n">
        <v>7</v>
      </c>
      <c r="C8" s="3" t="inlineStr">
        <is>
          <t>Mr. Key / Buriti Carimbos</t>
        </is>
      </c>
      <c r="D8" s="3" t="inlineStr">
        <is>
          <t>Chaveiro e carimbos</t>
        </is>
      </c>
      <c r="E8" s="3" t="inlineStr">
        <is>
          <t>Av. Alexandre de Morais, Qd. 77, Lt. 01, CEP 74840-300</t>
        </is>
      </c>
      <c r="F8" s="3" t="inlineStr">
        <is>
          <t>Parque Amazônia</t>
        </is>
      </c>
      <c r="G8" s="3" t="inlineStr">
        <is>
          <t>Goiânia</t>
        </is>
      </c>
      <c r="H8" s="3" t="inlineStr">
        <is>
          <t>não confirmado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61</v>
      </c>
      <c r="P8" s="3" t="inlineStr">
        <is>
          <t>Encaixe 14/35 · Decisor 18/20 · Evidência 8/20 · Balcão 7/10 · Rota 14/15</t>
        </is>
      </c>
      <c r="Q8" s="3" t="inlineStr">
        <is>
          <t>Balcão de atendimento rápido; prioridade baixa, mas está no caminho.</t>
        </is>
      </c>
      <c r="R8" s="3" t="inlineStr">
        <is>
          <t>Fraca: 1 diretório; mesmo CEP do ponto de partida</t>
        </is>
      </c>
      <c r="S8" s="3" t="inlineStr">
        <is>
          <t>https://goiania.infoisinfo-br.com/busca/lojas-roupas-e-outros</t>
        </is>
      </c>
      <c r="T8" s="3" t="inlineStr">
        <is>
          <t>≈ 1–7 min a pé (estimativa)</t>
        </is>
      </c>
      <c r="U8" s="3" t="inlineStr">
        <is>
          <t>≈ 100–500 m (estimativa; rota não verificada)</t>
        </is>
      </c>
      <c r="V8" s="3" t="inlineStr">
        <is>
          <t>4–8 min</t>
        </is>
      </c>
      <c r="W8" s="3" t="inlineStr">
        <is>
          <t>9h–12h ou 14h–17h</t>
        </is>
      </c>
      <c r="X8" s="3" t="inlineStr">
        <is>
          <t>11:22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Terça-feira, 27/10/2026</t>
        </is>
      </c>
      <c r="B9" s="3" t="n">
        <v>8</v>
      </c>
      <c r="C9" s="3" t="inlineStr">
        <is>
          <t>Cachos Brasil Goiânia</t>
        </is>
      </c>
      <c r="D9" s="3" t="inlineStr">
        <is>
          <t>Salão especializado em cachos (franquia)</t>
        </is>
      </c>
      <c r="E9" s="3" t="inlineStr">
        <is>
          <t>Av. Alexandre de Morais, nº 04, Qd. 77</t>
        </is>
      </c>
      <c r="F9" s="3" t="inlineStr">
        <is>
          <t>Parque Amazônia</t>
        </is>
      </c>
      <c r="G9" s="3" t="inlineStr">
        <is>
          <t>Goiânia (Trinks indica Aparecida de Goiânia; confirmar)</t>
        </is>
      </c>
      <c r="H9" s="3" t="inlineStr">
        <is>
          <t>Trinks: ver página; diretório: (61) 9803-8302 (DM Cachos, formato antigo)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seg a sáb, 9h-18h (Trinks)</t>
        </is>
      </c>
      <c r="M9" s="5" t="inlineStr">
        <is>
          <t>Abrir no Maps</t>
        </is>
      </c>
      <c r="N9" s="5" t="inlineStr">
        <is>
          <t>Rota a pé</t>
        </is>
      </c>
      <c r="O9" s="3" t="n">
        <v>86</v>
      </c>
      <c r="P9" s="3" t="inlineStr">
        <is>
          <t>Encaixe 33/35 · Decisor 12/20 · Evidência 18/20 · Balcão 9/10 · Rota 14/15</t>
        </is>
      </c>
      <c r="Q9" s="3" t="inlineStr">
        <is>
          <t>Salão de nicho com agenda online; cliente satisfeito costuma recomendar.</t>
        </is>
      </c>
      <c r="R9" s="3" t="inlineStr">
        <is>
          <t>Forte: agendamento online ativo na Trinks</t>
        </is>
      </c>
      <c r="S9" s="3" t="inlineStr">
        <is>
          <t>https://www.trinks.com/cachos-brasil-goiania | https://www.diariocidade.com/go/aparecida-de-goiania/guia/saloes-de-beleza/</t>
        </is>
      </c>
      <c r="T9" s="3" t="inlineStr">
        <is>
          <t>≈ 0–1 min a pé (estimativa)</t>
        </is>
      </c>
      <c r="U9" s="3" t="inlineStr">
        <is>
          <t>≈ 0–60 m (estimativa; rota não verificada)</t>
        </is>
      </c>
      <c r="V9" s="3" t="inlineStr">
        <is>
          <t>6–15 min (pode haver cliente em atendimento)</t>
        </is>
      </c>
      <c r="W9" s="3" t="inlineStr">
        <is>
          <t>9h–11h ou 14h–16h</t>
        </is>
      </c>
      <c r="X9" s="3" t="inlineStr">
        <is>
          <t>11:35</t>
        </is>
      </c>
      <c r="Y9" s="3" t="inlineStr">
        <is>
          <t>Não visitado</t>
        </is>
      </c>
      <c r="Z9" s="3" t="inlineStr"/>
      <c r="AA9" s="3" t="inlineStr"/>
      <c r="AB9" s="3" t="inlineStr">
        <is>
          <t>Confirmar existência e falar com o responsável</t>
        </is>
      </c>
    </row>
    <row r="10">
      <c r="A10" s="3" t="inlineStr">
        <is>
          <t>Terça-feira, 27/10/2026</t>
        </is>
      </c>
      <c r="B10" s="3" t="n">
        <v>9</v>
      </c>
      <c r="C10" s="3" t="inlineStr">
        <is>
          <t>Vintage Barbearia Pub</t>
        </is>
      </c>
      <c r="D10" s="3" t="inlineStr">
        <is>
          <t>Barbearia + pub</t>
        </is>
      </c>
      <c r="E10" s="3" t="inlineStr">
        <is>
          <t>Av. Alexandre de Morais, nº 1806, Qd. 06, Lt. 10, Sala 1</t>
        </is>
      </c>
      <c r="F10" s="3" t="inlineStr">
        <is>
          <t>Parque Amazônia</t>
        </is>
      </c>
      <c r="G10" s="3" t="inlineStr">
        <is>
          <t>Goiânia</t>
        </is>
      </c>
      <c r="H10" s="3" t="inlineStr">
        <is>
          <t>(62) 99127-0278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seg 9h-20h; ter a sex 9h-21h; sáb 9h-18h; dom fechado (site oficial; Trinks diverge)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93</v>
      </c>
      <c r="P10" s="3" t="inlineStr">
        <is>
          <t>Encaixe 34/35 · Decisor 18/20 · Evidência 18/20 · Balcão 9/10 · Rota 14/15</t>
        </is>
      </c>
      <c r="Q10" s="3" t="inlineStr">
        <is>
          <t>Barbearia com experiência (pub) e público fiel: perfil ideal para a placa.</t>
        </is>
      </c>
      <c r="R10" s="3" t="inlineStr">
        <is>
          <t>Forte: site oficial + Trinks</t>
        </is>
      </c>
      <c r="S10" s="3" t="inlineStr">
        <is>
          <t>https://vintagebarbeariapub.com.br/ | https://www.trinks.com/vintage-barbearia-pub</t>
        </is>
      </c>
      <c r="T10" s="3" t="inlineStr">
        <is>
          <t>≈ 3–8 min a pé (estimativa)</t>
        </is>
      </c>
      <c r="U10" s="3" t="inlineStr">
        <is>
          <t>≈ 200–600 m (estimativa; rota não verificada)</t>
        </is>
      </c>
      <c r="V10" s="3" t="inlineStr">
        <is>
          <t>6–15 min (pode haver cliente na cadeira)</t>
        </is>
      </c>
      <c r="W10" s="3" t="inlineStr">
        <is>
          <t>9h–11h30 ou 14h–16h30</t>
        </is>
      </c>
      <c r="X10" s="3" t="inlineStr">
        <is>
          <t>11:52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Terça-feira, 27/10/2026</t>
        </is>
      </c>
      <c r="B11" s="3" t="n">
        <v>10</v>
      </c>
      <c r="C11" s="3" t="inlineStr">
        <is>
          <t>Donna Bella Cabelo e Estética / Bella Vita Esmalteria (nº 1814)</t>
        </is>
      </c>
      <c r="D11" s="3" t="inlineStr">
        <is>
          <t>Salão / esmalteria</t>
        </is>
      </c>
      <c r="E11" s="3" t="inlineStr">
        <is>
          <t>Av. Alexandre de Morais, nº 1814, Qd. 06, Lt. 08/09, Sala 04</t>
        </is>
      </c>
      <c r="F11" s="3" t="inlineStr">
        <is>
          <t>Parque Amazônia</t>
        </is>
      </c>
      <c r="G11" s="3" t="inlineStr">
        <is>
          <t>Goiânia</t>
        </is>
      </c>
      <c r="H11" s="3" t="inlineStr">
        <is>
          <t>não confirmado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não confirmado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33/35 · Decisor 18/20 · Evidência 13/20 · Balcão 9/10 · Rota 14/15</t>
        </is>
      </c>
      <c r="Q11" s="3" t="inlineStr">
        <is>
          <t>Salão/esmalteria; confirme no local qual nome está ativo.</t>
        </is>
      </c>
      <c r="R11" s="3" t="inlineStr">
        <is>
          <t>Média: 2 diretórios no mesmo endereço (nomes diferentes: pode ser o mesmo negócio)</t>
        </is>
      </c>
      <c r="S11" s="3" t="inlineStr">
        <is>
          <t>https://www.telelistas.net/go/goiania/em+parque+amazonia/cabeleireiros+e+institutos+de+beleza | https://guiapinzon.com.br/go/goiania/parque-amazonia/manicure-em-parque-amazonia</t>
        </is>
      </c>
      <c r="T11" s="3" t="inlineStr">
        <is>
          <t>≈ 0–1 min a pé (estimativa)</t>
        </is>
      </c>
      <c r="U11" s="3" t="inlineStr">
        <is>
          <t>≈ 0–50 m (estimativa; rota não verificada)</t>
        </is>
      </c>
      <c r="V11" s="3" t="inlineStr">
        <is>
          <t>6–15 min (pode haver cliente em atendimento)</t>
        </is>
      </c>
      <c r="W11" s="3" t="inlineStr">
        <is>
          <t>9h–11h ou 14h–16h</t>
        </is>
      </c>
      <c r="X11" s="3" t="inlineStr">
        <is>
          <t>12:05</t>
        </is>
      </c>
      <c r="Y11" s="3" t="inlineStr">
        <is>
          <t>Não visitado</t>
        </is>
      </c>
      <c r="Z11" s="3" t="inlineStr"/>
      <c r="AA11" s="3" t="inlineStr">
        <is>
          <t>Depois desta visita: Almoço (60 min)</t>
        </is>
      </c>
      <c r="AB11" s="3" t="inlineStr">
        <is>
          <t>Confirmar existência e falar com o responsável</t>
        </is>
      </c>
    </row>
    <row r="12">
      <c r="A12" s="3" t="inlineStr">
        <is>
          <t>Terça-feira, 27/10/2026</t>
        </is>
      </c>
      <c r="B12" s="3" t="n">
        <v>11</v>
      </c>
      <c r="C12" s="3" t="inlineStr">
        <is>
          <t>Novo Visual Cabeleireiros</t>
        </is>
      </c>
      <c r="D12" s="3" t="inlineStr">
        <is>
          <t>Salão de beleza</t>
        </is>
      </c>
      <c r="E12" s="3" t="inlineStr">
        <is>
          <t>Rua Uirapuru, Qd. 6, Lt. 15</t>
        </is>
      </c>
      <c r="F12" s="3" t="inlineStr">
        <is>
          <t>Parque Amazônia</t>
        </is>
      </c>
      <c r="G12" s="3" t="inlineStr">
        <is>
          <t>Goiânia</t>
        </is>
      </c>
      <c r="H12" s="3" t="inlineStr">
        <is>
          <t>(62) 3280-5181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82</v>
      </c>
      <c r="P12" s="3" t="inlineStr">
        <is>
          <t>Encaixe 33/35 · Decisor 18/20 · Evidência 8/20 · Balcão 9/10 · Rota 14/15</t>
        </is>
      </c>
      <c r="Q12" s="3" t="inlineStr">
        <is>
          <t>Salão de bairro; dono geralmente atende.</t>
        </is>
      </c>
      <c r="R12" s="3" t="inlineStr">
        <is>
          <t>Fraca: 1 diretório</t>
        </is>
      </c>
      <c r="S12" s="3" t="inlineStr">
        <is>
          <t>https://www.guiatelefone.com/empresas/goiania-go/bairro/parque-amazonia/institutos-de-beleza/saloes-de-beleza-e-cabeleireiros</t>
        </is>
      </c>
      <c r="T12" s="3" t="inlineStr">
        <is>
          <t>≈ 1–4 min a pé (estimativa)</t>
        </is>
      </c>
      <c r="U12" s="3" t="inlineStr">
        <is>
          <t>≈ 100–300 m (estimativa; rota não verificada)</t>
        </is>
      </c>
      <c r="V12" s="3" t="inlineStr">
        <is>
          <t>6–15 min (pode haver cliente em atendimento)</t>
        </is>
      </c>
      <c r="W12" s="3" t="inlineStr">
        <is>
          <t>9h–11h ou 14h–16h</t>
        </is>
      </c>
      <c r="X12" s="3" t="inlineStr">
        <is>
          <t>13:19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Terça-feira, 27/10/2026</t>
        </is>
      </c>
      <c r="B13" s="3" t="n">
        <v>12</v>
      </c>
      <c r="C13" s="3" t="inlineStr">
        <is>
          <t>New Car Lanternagem e Pintura</t>
        </is>
      </c>
      <c r="D13" s="3" t="inlineStr">
        <is>
          <t>Funilaria e pintura</t>
        </is>
      </c>
      <c r="E13" s="3" t="inlineStr">
        <is>
          <t>Av. Rio Verde (número não informado)</t>
        </is>
      </c>
      <c r="F13" s="3" t="inlineStr">
        <is>
          <t>Parque Amazônia</t>
        </is>
      </c>
      <c r="G13" s="3" t="inlineStr">
        <is>
          <t>Goiânia</t>
        </is>
      </c>
      <c r="H13" s="3" t="inlineStr">
        <is>
          <t>(62) 3280-6527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73</v>
      </c>
      <c r="P13" s="3" t="inlineStr">
        <is>
          <t>Encaixe 28/35 · Decisor 18/20 · Evidência 8/20 · Balcão 8/10 · Rota 11/15</t>
        </is>
      </c>
      <c r="Q13" s="3" t="inlineStr">
        <is>
          <t>Oficina: cliente decide por confiança; avaliações ajudam muito nesse segmento.</t>
        </is>
      </c>
      <c r="R13" s="3" t="inlineStr">
        <is>
          <t>Fraca: 1 diretório; sem número</t>
        </is>
      </c>
      <c r="S13" s="3" t="inlineStr">
        <is>
          <t>https://www.enkontre.com.br/busca/goiania-go/restauracao-oficina-mecanica-lanternagem-e-pintura/setor/parque-amazonia</t>
        </is>
      </c>
      <c r="T13" s="3" t="inlineStr">
        <is>
          <t>≈ 2–8 min a pé (estimativa)</t>
        </is>
      </c>
      <c r="U13" s="3" t="inlineStr">
        <is>
          <t>≈ 150–600 m (estimativa; rota não verificada)</t>
        </is>
      </c>
      <c r="V13" s="3" t="inlineStr">
        <is>
          <t>6–12 min</t>
        </is>
      </c>
      <c r="W13" s="3" t="inlineStr">
        <is>
          <t>8h–11h30 ou 14h–17h</t>
        </is>
      </c>
      <c r="X13" s="3" t="inlineStr">
        <is>
          <t>13:36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Terça-feira, 27/10/2026</t>
        </is>
      </c>
      <c r="B14" s="3" t="n">
        <v>13</v>
      </c>
      <c r="C14" s="3" t="inlineStr">
        <is>
          <t>Odonto Prime</t>
        </is>
      </c>
      <c r="D14" s="3" t="inlineStr">
        <is>
          <t>Clínica odontológica</t>
        </is>
      </c>
      <c r="E14" s="3" t="inlineStr">
        <is>
          <t>Av. Xingu, 398</t>
        </is>
      </c>
      <c r="F14" s="3" t="inlineStr">
        <is>
          <t>Parque Amazônia</t>
        </is>
      </c>
      <c r="G14" s="3" t="inlineStr">
        <is>
          <t>Goiânia</t>
        </is>
      </c>
      <c r="H14" s="3" t="inlineStr">
        <is>
          <t>não confirmado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68</v>
      </c>
      <c r="P14" s="3" t="inlineStr">
        <is>
          <t>Encaixe 26/35 · Decisor 18/20 · Evidência 8/20 · Balcão 8/10 · Rota 8/15</t>
        </is>
      </c>
      <c r="Q14" s="3" t="inlineStr">
        <is>
          <t>Clínica com recepção; deixe material se o responsável não estiver.</t>
        </is>
      </c>
      <c r="R14" s="3" t="inlineStr">
        <is>
          <t>Fraca: diretório de saúde</t>
        </is>
      </c>
      <c r="S14" s="3" t="inlineStr">
        <is>
          <t>https://listatudo.com.br/parque-amazonia-goiania/hospitais-e-clinicas-medicina-e-saude/ | https://goiania.infoisinfo-br.com/busca/clinica-odontologica</t>
        </is>
      </c>
      <c r="T14" s="3" t="inlineStr">
        <is>
          <t>≈ 5–13 min a pé (estimativa)</t>
        </is>
      </c>
      <c r="U14" s="3" t="inlineStr">
        <is>
          <t>≈ 400–1000 m (estimativa; rota não verificada)</t>
        </is>
      </c>
      <c r="V14" s="3" t="inlineStr">
        <is>
          <t>4–10 min (recepção; peça o responsável)</t>
        </is>
      </c>
      <c r="W14" s="3" t="inlineStr">
        <is>
          <t>8h30–11h30 ou 14h–17h</t>
        </is>
      </c>
      <c r="X14" s="3" t="inlineStr">
        <is>
          <t>13:58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Terça-feira, 27/10/2026</t>
        </is>
      </c>
      <c r="B15" s="3" t="n">
        <v>14</v>
      </c>
      <c r="C15" s="3" t="inlineStr">
        <is>
          <t>Pão Sírio Said</t>
        </is>
      </c>
      <c r="D15" s="3" t="inlineStr">
        <is>
          <t>Padaria / pão sírio</t>
        </is>
      </c>
      <c r="E15" s="3" t="inlineStr">
        <is>
          <t>Rua Taguari, 199, Qd. 81, Lt. 10</t>
        </is>
      </c>
      <c r="F15" s="3" t="inlineStr">
        <is>
          <t>Parque Amazônia</t>
        </is>
      </c>
      <c r="G15" s="3" t="inlineStr">
        <is>
          <t>Goiânia</t>
        </is>
      </c>
      <c r="H15" s="3" t="inlineStr">
        <is>
          <t>(62) 3280-1659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69</v>
      </c>
      <c r="P15" s="3" t="inlineStr">
        <is>
          <t>Encaixe 26/35 · Decisor 18/20 · Evidência 8/20 · Balcão 9/10 · Rota 8/15</t>
        </is>
      </c>
      <c r="Q15" s="3" t="inlineStr">
        <is>
          <t>Produção própria e clientela de bairro; caixa com fila = boa exposição da placa.</t>
        </is>
      </c>
      <c r="R15" s="3" t="inlineStr">
        <is>
          <t>Fraca: 1 diretório</t>
        </is>
      </c>
      <c r="S15" s="3" t="inlineStr">
        <is>
          <t>https://www.guiatelefone.com/empresas/goiania-go/bairro/parque-amazonia/lanches-e-salgados/padarias-e-confeitarias</t>
        </is>
      </c>
      <c r="T15" s="3" t="inlineStr">
        <is>
          <t>≈ 3–8 min a pé (estimativa)</t>
        </is>
      </c>
      <c r="U15" s="3" t="inlineStr">
        <is>
          <t>≈ 200–600 m (estimativa; rota não verificada)</t>
        </is>
      </c>
      <c r="V15" s="3" t="inlineStr">
        <is>
          <t>5–10 min</t>
        </is>
      </c>
      <c r="W15" s="3" t="inlineStr">
        <is>
          <t>9h30–11h ou 14h–16h</t>
        </is>
      </c>
      <c r="X15" s="3" t="inlineStr">
        <is>
          <t>14:15</t>
        </is>
      </c>
      <c r="Y15" s="3" t="inlineStr">
        <is>
          <t>Não visitado</t>
        </is>
      </c>
      <c r="Z15" s="3" t="inlineStr"/>
      <c r="AA15" s="3" t="inlineStr"/>
      <c r="AB15" s="3" t="inlineStr">
        <is>
          <t>Confirmar existência e falar com o responsável</t>
        </is>
      </c>
    </row>
    <row r="16">
      <c r="A16" s="3" t="inlineStr">
        <is>
          <t>Terça-feira, 27/10/2026</t>
        </is>
      </c>
      <c r="B16" s="3" t="n">
        <v>15</v>
      </c>
      <c r="C16" s="3" t="inlineStr">
        <is>
          <t>Chérie Boutique e Pet Shop</t>
        </is>
      </c>
      <c r="D16" s="3" t="inlineStr">
        <is>
          <t>Pet shop / boutique pet</t>
        </is>
      </c>
      <c r="E16" s="3" t="inlineStr">
        <is>
          <t>Av. Rio Negro, 505, Qd. 156, Lt. 11</t>
        </is>
      </c>
      <c r="F16" s="3" t="inlineStr">
        <is>
          <t>Parque Amazônia</t>
        </is>
      </c>
      <c r="G16" s="3" t="inlineStr">
        <is>
          <t>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85</v>
      </c>
      <c r="P16" s="3" t="inlineStr">
        <is>
          <t>Encaixe 31/35 · Decisor 18/20 · Evidência 13/20 · Balcão 9/10 · Rota 14/15</t>
        </is>
      </c>
      <c r="Q16" s="3" t="inlineStr">
        <is>
          <t>Boutique pet: público que valoriza experiência e costuma avaliar.</t>
        </is>
      </c>
      <c r="R16" s="3" t="inlineStr">
        <is>
          <t>Média: 2 diretórios</t>
        </is>
      </c>
      <c r="S16" s="3" t="inlineStr">
        <is>
          <t>https://guiafacil.com/encontre/pet-shop/goiania/go/bairro/parque-amazonia | https://www.guiatelefone.com/empresas/goiania-go/bairro/parque-amazonia/servicos-para-animais/pet-shop</t>
        </is>
      </c>
      <c r="T16" s="3" t="inlineStr">
        <is>
          <t>≈ 4–11 min a pé (estimativa)</t>
        </is>
      </c>
      <c r="U16" s="3" t="inlineStr">
        <is>
          <t>≈ 300–800 m (estimativa; rota não verificada)</t>
        </is>
      </c>
      <c r="V16" s="3" t="inlineStr">
        <is>
          <t>6–12 min</t>
        </is>
      </c>
      <c r="W16" s="3" t="inlineStr">
        <is>
          <t>8h30–11h30 ou 14h–16h30</t>
        </is>
      </c>
      <c r="X16" s="3" t="inlineStr">
        <is>
          <t>14:34</t>
        </is>
      </c>
      <c r="Y16" s="3" t="inlineStr">
        <is>
          <t>Não visitado</t>
        </is>
      </c>
      <c r="Z16" s="3" t="inlineStr"/>
      <c r="AA16" s="3" t="inlineStr"/>
      <c r="AB16" s="3" t="inlineStr">
        <is>
          <t>Confirmar existência e falar com o responsável</t>
        </is>
      </c>
    </row>
    <row r="17">
      <c r="A17" s="3" t="inlineStr">
        <is>
          <t>Terça-feira, 27/10/2026</t>
        </is>
      </c>
      <c r="B17" s="3" t="n">
        <v>16</v>
      </c>
      <c r="C17" s="3" t="inlineStr">
        <is>
          <t>Brump Moda Feminina</t>
        </is>
      </c>
      <c r="D17" s="3" t="inlineStr">
        <is>
          <t>Loja de roupas femininas</t>
        </is>
      </c>
      <c r="E17" s="3" t="inlineStr">
        <is>
          <t>Av. Rio Negro, 682</t>
        </is>
      </c>
      <c r="F17" s="3" t="inlineStr">
        <is>
          <t>Parque Amazônia</t>
        </is>
      </c>
      <c r="G17" s="3" t="inlineStr">
        <is>
          <t>Goiânia</t>
        </is>
      </c>
      <c r="H17" s="3" t="inlineStr">
        <is>
          <t>(62) 3089-3268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71</v>
      </c>
      <c r="P17" s="3" t="inlineStr">
        <is>
          <t>Encaixe 22/35 · Decisor 18/20 · Evidência 8/20 · Balcão 9/10 · Rota 14/15</t>
        </is>
      </c>
      <c r="Q17" s="3" t="inlineStr">
        <is>
          <t>Loja de rua com atendimento pessoal; verificar se ainda funciona.</t>
        </is>
      </c>
      <c r="R17" s="3" t="inlineStr">
        <is>
          <t>Fraca: diretório com ~4 anos; mesmo endereço aparece para outra empresa</t>
        </is>
      </c>
      <c r="S17" s="3" t="inlineStr">
        <is>
          <t>https://goiania.infoisinfo-br.com/busca/lojas-roupas-e-outros | https://www.diariocidade.com/go/goiania/guia/lojas-de-roupas/pg-69/</t>
        </is>
      </c>
      <c r="T17" s="3" t="inlineStr">
        <is>
          <t>≈ 1–3 min a pé (estimativa)</t>
        </is>
      </c>
      <c r="U17" s="3" t="inlineStr">
        <is>
          <t>≈ 100–250 m (estimativa; rota não verificada)</t>
        </is>
      </c>
      <c r="V17" s="3" t="inlineStr">
        <is>
          <t>5–10 min</t>
        </is>
      </c>
      <c r="W17" s="3" t="inlineStr">
        <is>
          <t>9h–12h ou 14h–17h</t>
        </is>
      </c>
      <c r="X17" s="3" t="inlineStr">
        <is>
          <t>14:49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Terça-feira, 27/10/2026</t>
        </is>
      </c>
      <c r="B18" s="3" t="n">
        <v>17</v>
      </c>
      <c r="C18" s="3" t="inlineStr">
        <is>
          <t>Bicho Legal Clínica Veterinária &amp; Petshop</t>
        </is>
      </c>
      <c r="D18" s="3" t="inlineStr">
        <is>
          <t>Clínica veterinária / pet shop</t>
        </is>
      </c>
      <c r="E18" s="3" t="inlineStr">
        <is>
          <t>Av. Rio Negro, 730, CEP 74840-520</t>
        </is>
      </c>
      <c r="F18" s="3" t="inlineStr">
        <is>
          <t>Parque Amazônia</t>
        </is>
      </c>
      <c r="G18" s="3" t="inlineStr">
        <is>
          <t>Goiânia</t>
        </is>
      </c>
      <c r="H18" s="3" t="inlineStr">
        <is>
          <t>(62) 3100-7983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85</v>
      </c>
      <c r="P18" s="3" t="inlineStr">
        <is>
          <t>Encaixe 31/35 · Decisor 18/20 · Evidência 13/20 · Balcão 9/10 · Rota 14/15</t>
        </is>
      </c>
      <c r="Q18" s="3" t="inlineStr">
        <is>
          <t>Vet + pet: confiança é decisiva; tutores pesquisam avaliações antes de ir.</t>
        </is>
      </c>
      <c r="R18" s="3" t="inlineStr">
        <is>
          <t>Média: diretório com CEP e telefone</t>
        </is>
      </c>
      <c r="S18" s="3" t="inlineStr">
        <is>
          <t>https://www.benditoguia.com.br/empresa/bicho-legal-clinica-veterinaria-petshop-parque-amazonia-goiania-go</t>
        </is>
      </c>
      <c r="T18" s="3" t="inlineStr">
        <is>
          <t>≈ 0–1 min a pé (estimativa)</t>
        </is>
      </c>
      <c r="U18" s="3" t="inlineStr">
        <is>
          <t>≈ 30–100 m (estimativa; rota não verificada)</t>
        </is>
      </c>
      <c r="V18" s="3" t="inlineStr">
        <is>
          <t>6–12 min</t>
        </is>
      </c>
      <c r="W18" s="3" t="inlineStr">
        <is>
          <t>8h30–11h30 ou 14h–16h30</t>
        </is>
      </c>
      <c r="X18" s="3" t="inlineStr">
        <is>
          <t>15:01</t>
        </is>
      </c>
      <c r="Y18" s="3" t="inlineStr">
        <is>
          <t>Não visitado</t>
        </is>
      </c>
      <c r="Z18" s="3" t="inlineStr"/>
      <c r="AA18" s="3" t="inlineStr">
        <is>
          <t>Depois desta visita: Pausa: água/descanso (15 min)</t>
        </is>
      </c>
      <c r="AB18" s="3" t="inlineStr">
        <is>
          <t>Confirmar existência e falar com o responsável</t>
        </is>
      </c>
    </row>
    <row r="19">
      <c r="A19" s="3" t="inlineStr">
        <is>
          <t>Terça-feira, 27/10/2026</t>
        </is>
      </c>
      <c r="B19" s="3" t="n">
        <v>18</v>
      </c>
      <c r="C19" s="3" t="inlineStr">
        <is>
          <t>Anexo VIP Barber</t>
        </is>
      </c>
      <c r="D19" s="3" t="inlineStr">
        <is>
          <t>Barbearia</t>
        </is>
      </c>
      <c r="E19" s="3" t="inlineStr">
        <is>
          <t>Av. Rio Negro, 755</t>
        </is>
      </c>
      <c r="F19" s="3" t="inlineStr">
        <is>
          <t>Parque Amazônia</t>
        </is>
      </c>
      <c r="G19" s="3" t="inlineStr">
        <is>
          <t>Goiânia</t>
        </is>
      </c>
      <c r="H19" s="3" t="inlineStr">
        <is>
          <t>não confirmado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83</v>
      </c>
      <c r="P19" s="3" t="inlineStr">
        <is>
          <t>Encaixe 34/35 · Decisor 18/20 · Evidência 8/20 · Balcão 9/10 · Rota 14/15</t>
        </is>
      </c>
      <c r="Q19" s="3" t="inlineStr">
        <is>
          <t>Barbearia: segmento nº 1 de prioridade.</t>
        </is>
      </c>
      <c r="R19" s="3" t="inlineStr">
        <is>
          <t>Fraca: 1 diretório</t>
        </is>
      </c>
      <c r="S19" s="3" t="inlineStr">
        <is>
          <t>https://www.telelistas.net/go/goiania/em+parque+amazonia/cabeleireiros+e+institutos+de+beleza</t>
        </is>
      </c>
      <c r="T19" s="3" t="inlineStr">
        <is>
          <t>≈ 0–1 min a pé (estimativa)</t>
        </is>
      </c>
      <c r="U19" s="3" t="inlineStr">
        <is>
          <t>≈ 20–80 m (estimativa; rota não verificada)</t>
        </is>
      </c>
      <c r="V19" s="3" t="inlineStr">
        <is>
          <t>6–15 min (pode haver cliente na cadeira)</t>
        </is>
      </c>
      <c r="W19" s="3" t="inlineStr">
        <is>
          <t>9h–11h30 ou 14h–16h30</t>
        </is>
      </c>
      <c r="X19" s="3" t="inlineStr">
        <is>
          <t>15:29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Terça-feira, 27/10/2026</t>
        </is>
      </c>
      <c r="B20" s="3" t="n">
        <v>19</v>
      </c>
      <c r="C20" s="3" t="inlineStr">
        <is>
          <t>Guzz Barbearia</t>
        </is>
      </c>
      <c r="D20" s="3" t="inlineStr">
        <is>
          <t>Barbearia</t>
        </is>
      </c>
      <c r="E20" s="3" t="inlineStr">
        <is>
          <t>Rua Igapó</t>
        </is>
      </c>
      <c r="F20" s="3" t="inlineStr">
        <is>
          <t>Parque Amazônia</t>
        </is>
      </c>
      <c r="G20" s="3" t="inlineStr">
        <is>
          <t>Goiânia</t>
        </is>
      </c>
      <c r="H20" s="3" t="inlineStr">
        <is>
          <t>não confirmado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93</v>
      </c>
      <c r="P20" s="3" t="inlineStr">
        <is>
          <t>Encaixe 34/35 · Decisor 18/20 · Evidência 18/20 · Balcão 9/10 · Rota 14/15</t>
        </is>
      </c>
      <c r="Q20" s="3" t="inlineStr">
        <is>
          <t>Barbearia com agenda online: já investe em presença digital.</t>
        </is>
      </c>
      <c r="R20" s="3" t="inlineStr">
        <is>
          <t>Forte: perfil de agendamento online (Booksy)</t>
        </is>
      </c>
      <c r="S20" s="3" t="inlineStr">
        <is>
          <t>https://booksy.com/pt-br/140369_guzz-barbearia_barbearias_392563_goiania</t>
        </is>
      </c>
      <c r="T20" s="3" t="inlineStr">
        <is>
          <t>≈ 1–5 min a pé (estimativa)</t>
        </is>
      </c>
      <c r="U20" s="3" t="inlineStr">
        <is>
          <t>≈ 100–400 m (estimativa; rota não verificada)</t>
        </is>
      </c>
      <c r="V20" s="3" t="inlineStr">
        <is>
          <t>6–15 min (pode haver cliente na cadeira)</t>
        </is>
      </c>
      <c r="W20" s="3" t="inlineStr">
        <is>
          <t>9h–11h30 ou 14h–16h30</t>
        </is>
      </c>
      <c r="X20" s="3" t="inlineStr">
        <is>
          <t>15:44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Terça-feira, 27/10/2026</t>
        </is>
      </c>
      <c r="B21" s="3" t="n">
        <v>20</v>
      </c>
      <c r="C21" s="3" t="inlineStr">
        <is>
          <t>Murdock Steakhouse</t>
        </is>
      </c>
      <c r="D21" s="3" t="inlineStr">
        <is>
          <t>Steakhouse / hamburgueria</t>
        </is>
      </c>
      <c r="E21" s="3" t="inlineStr">
        <is>
          <t>Av. Alexandre de Morais, CEP 74840-240</t>
        </is>
      </c>
      <c r="F21" s="3" t="inlineStr">
        <is>
          <t>Parque Amazônia</t>
        </is>
      </c>
      <c r="G21" s="3" t="inlineStr">
        <is>
          <t>Goiânia</t>
        </is>
      </c>
      <c r="H21" s="3" t="inlineStr">
        <is>
          <t>não confirmado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74</v>
      </c>
      <c r="P21" s="3" t="inlineStr">
        <is>
          <t>Encaixe 31/35 · Decisor 18/20 · Evidência 8/20 · Balcão 9/10 · Rota 8/15</t>
        </is>
      </c>
      <c r="Q21" s="3" t="inlineStr">
        <is>
          <t>Casa noturna de carnes; costuma abrir no fim da tarde.</t>
        </is>
      </c>
      <c r="R21" s="3" t="inlineStr">
        <is>
          <t>Fraca: guia de bairro (data não informada)</t>
        </is>
      </c>
      <c r="S21" s="3" t="inlineStr">
        <is>
          <t>https://tapajosengenharia.com.br/descubra-parque-amazonia/</t>
        </is>
      </c>
      <c r="T21" s="3" t="inlineStr">
        <is>
          <t>≈ 5–12 min a pé (estimativa)</t>
        </is>
      </c>
      <c r="U21" s="3" t="inlineStr">
        <is>
          <t>≈ 400–900 m (estimativa; rota não verificada)</t>
        </is>
      </c>
      <c r="V21" s="3" t="inlineStr">
        <is>
          <t>5–12 min (na abertura)</t>
        </is>
      </c>
      <c r="W21" s="3" t="inlineStr">
        <is>
          <t>16h30–18h30 (abertura)</t>
        </is>
      </c>
      <c r="X21" s="3" t="inlineStr">
        <is>
          <t>16:05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Terça-feira, 27/10/2026</t>
        </is>
      </c>
      <c r="B22" s="3" t="n">
        <v>21</v>
      </c>
      <c r="C22" s="3" t="inlineStr">
        <is>
          <t>Bar e Restaurante Arpoador</t>
        </is>
      </c>
      <c r="D22" s="3" t="inlineStr">
        <is>
          <t>Bar e restaurante</t>
        </is>
      </c>
      <c r="E22" s="3" t="inlineStr">
        <is>
          <t>Av. Alexandre de Morais, nº 1396</t>
        </is>
      </c>
      <c r="F22" s="3" t="inlineStr">
        <is>
          <t>Parque Amazônia</t>
        </is>
      </c>
      <c r="G22" s="3" t="inlineStr">
        <is>
          <t>Goiânia</t>
        </is>
      </c>
      <c r="H22" s="3" t="inlineStr">
        <is>
          <t>(62) 3922-0142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seg a sex 17h-00h40; sáb e dom 11h-02h (dados de 2017)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80</v>
      </c>
      <c r="P22" s="3" t="inlineStr">
        <is>
          <t>Encaixe 31/35 · Decisor 18/20 · Evidência 8/20 · Balcão 9/10 · Rota 14/15</t>
        </is>
      </c>
      <c r="Q22" s="3" t="inlineStr">
        <is>
          <t>Bar tradicional da avenida; abordar na abertura (17h), antes do movimento.</t>
        </is>
      </c>
      <c r="R22" s="3" t="inlineStr">
        <is>
          <t>Fraca: matéria de 2017 + diretório</t>
        </is>
      </c>
      <c r="S22" s="3" t="inlineStr">
        <is>
          <t>https://www.jornalopcao.com.br/ultimas-noticias/avenida-no-parque-amazonia-e-opcao-gastronomica-para-fugir-da-mesmice-veja-o-que-fazer-112549/ | https://www.apontador.com.br/em/parque-amazonia-goiania-go/bares-e-restaurantes</t>
        </is>
      </c>
      <c r="T22" s="3" t="inlineStr">
        <is>
          <t>≈ 1–4 min a pé (estimativa)</t>
        </is>
      </c>
      <c r="U22" s="3" t="inlineStr">
        <is>
          <t>≈ 100–300 m (estimativa; rota não verificada)</t>
        </is>
      </c>
      <c r="V22" s="3" t="inlineStr">
        <is>
          <t>5–12 min (na abertura)</t>
        </is>
      </c>
      <c r="W22" s="3" t="inlineStr">
        <is>
          <t>16h30–18h30 (abertura)</t>
        </is>
      </c>
      <c r="X22" s="3" t="inlineStr">
        <is>
          <t>17:00</t>
        </is>
      </c>
      <c r="Y22" s="3" t="inlineStr">
        <is>
          <t>Não visitado</t>
        </is>
      </c>
      <c r="Z22" s="3" t="inlineStr"/>
      <c r="AA22" s="3" t="inlineStr">
        <is>
          <t>chegando antes das 17:00: aguarde 39 min ou volte depois</t>
        </is>
      </c>
      <c r="AB22" s="3" t="inlineStr">
        <is>
          <t>Confirmar existência e falar com o responsável</t>
        </is>
      </c>
    </row>
    <row r="23">
      <c r="A23" s="3" t="inlineStr">
        <is>
          <t>Terça-feira, 27/10/2026</t>
        </is>
      </c>
      <c r="B23" s="3" t="n">
        <v>22</v>
      </c>
      <c r="C23" s="3" t="inlineStr">
        <is>
          <t>D'Esfihas Parque Amazônia</t>
        </is>
      </c>
      <c r="D23" s="3" t="inlineStr">
        <is>
          <t>Esfiharia / lanchonete</t>
        </is>
      </c>
      <c r="E23" s="3" t="inlineStr">
        <is>
          <t>Av. Alexandre de Morais, nº 1493, Qd. 26, Lt. 01, CEP 74840-160</t>
        </is>
      </c>
      <c r="F23" s="3" t="inlineStr">
        <is>
          <t>Parque Amazônia</t>
        </is>
      </c>
      <c r="G23" s="3" t="inlineStr">
        <is>
          <t>Goiânia</t>
        </is>
      </c>
      <c r="H23" s="3" t="inlineStr">
        <is>
          <t>não confirmado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85</v>
      </c>
      <c r="P23" s="3" t="inlineStr">
        <is>
          <t>Encaixe 31/35 · Decisor 18/20 · Evidência 13/20 · Balcão 9/10 · Rota 14/15</t>
        </is>
      </c>
      <c r="Q23" s="3" t="inlineStr">
        <is>
          <t>Lanchonete com balcão e muito giro; placa no caixa.</t>
        </is>
      </c>
      <c r="R23" s="3" t="inlineStr">
        <is>
          <t>Média: agregador de avaliações</t>
        </is>
      </c>
      <c r="S23" s="3" t="inlineStr">
        <is>
          <t>https://wanderboat.ai/restaurants/brazil/regi%C3%A3o-geogr%C3%A1fica-imediata-de-goi%C3%A2nia/d'esfihas---parque-amaz%C3%B4nia/ZEMHLXJPSkK3HZKLYmR34A</t>
        </is>
      </c>
      <c r="T23" s="3" t="inlineStr">
        <is>
          <t>≈ 1–3 min a pé (estimativa)</t>
        </is>
      </c>
      <c r="U23" s="3" t="inlineStr">
        <is>
          <t>≈ 80–200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17:13</t>
        </is>
      </c>
      <c r="Y23" s="3" t="inlineStr">
        <is>
          <t>Não visitado</t>
        </is>
      </c>
      <c r="Z23" s="3" t="inlineStr"/>
      <c r="AA23" s="3" t="inlineStr"/>
      <c r="AB23" s="3" t="inlineStr">
        <is>
          <t>Confirmar existência e falar com o responsável</t>
        </is>
      </c>
    </row>
    <row r="24">
      <c r="A24" s="3" t="inlineStr">
        <is>
          <t>Terça-feira, 27/10/2026</t>
        </is>
      </c>
      <c r="B24" s="3" t="n">
        <v>23</v>
      </c>
      <c r="C24" s="3" t="inlineStr">
        <is>
          <t>Cazzero Burger</t>
        </is>
      </c>
      <c r="D24" s="3" t="inlineStr">
        <is>
          <t>Hamburgueria</t>
        </is>
      </c>
      <c r="E24" s="3" t="inlineStr">
        <is>
          <t>Av. Alexandre de Morais, nº 1667, Qd. 28, Lt. 3</t>
        </is>
      </c>
      <c r="F24" s="3" t="inlineStr">
        <is>
          <t>Parque Amazônia</t>
        </is>
      </c>
      <c r="G24" s="3" t="inlineStr">
        <is>
          <t>Goiânia</t>
        </is>
      </c>
      <c r="H24" s="3" t="inlineStr">
        <is>
          <t>(62) 3642-6357 / WhatsApp (62) 8300-5068 (formato antigo)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todos os dias 18h30-00h (dados de 2017); delivery até 23h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85</v>
      </c>
      <c r="P24" s="3" t="inlineStr">
        <is>
          <t>Encaixe 31/35 · Decisor 18/20 · Evidência 13/20 · Balcão 9/10 · Rota 14/15</t>
        </is>
      </c>
      <c r="Q24" s="3" t="inlineStr">
        <is>
          <t>Hamburgueria conhecida. Abre 18h30 (dado de 2017): se fechada, deixe material ou volte no fim do bloco (≈200 m).</t>
        </is>
      </c>
      <c r="R24" s="3" t="inlineStr">
        <is>
          <t>Média: Instagram @cazzeroburger + matérias</t>
        </is>
      </c>
      <c r="S24" s="3" t="inlineStr">
        <is>
          <t>https://www.maisgoias.com.br/divirta-se/hamburguerias-em-goiania-pra-quem-nao-dispensa-um-lanche-caprichado/ | https://www.jornalopcao.com.br/ultimas-noticias/avenida-no-parque-amazonia-e-opcao-gastronomica-para-fugir-da-mesmice-veja-o-que-fazer-112549/</t>
        </is>
      </c>
      <c r="T24" s="3" t="inlineStr">
        <is>
          <t>≈ 2–3 min a pé (estimativa)</t>
        </is>
      </c>
      <c r="U24" s="3" t="inlineStr">
        <is>
          <t>≈ 150–250 m (estimativa; rota não verificada)</t>
        </is>
      </c>
      <c r="V24" s="3" t="inlineStr">
        <is>
          <t>5–12 min (na abertura)</t>
        </is>
      </c>
      <c r="W24" s="3" t="inlineStr">
        <is>
          <t>16h30–18h30 (abertura)</t>
        </is>
      </c>
      <c r="X24" s="3" t="inlineStr">
        <is>
          <t>17:28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Terça-feira, 27/10/2026</t>
        </is>
      </c>
      <c r="B25" s="3" t="n">
        <v>24</v>
      </c>
      <c r="C25" s="3" t="inlineStr">
        <is>
          <t>MChicken Parque Amazônia</t>
        </is>
      </c>
      <c r="D25" s="3" t="inlineStr">
        <is>
          <t>Lanchonete de frango (franquia)</t>
        </is>
      </c>
      <c r="E25" s="3" t="inlineStr">
        <is>
          <t>Av. Alexandre de Morais, nº 1864, esq. Alameda Imbé, Qd. 06, Lt. 08</t>
        </is>
      </c>
      <c r="F25" s="3" t="inlineStr">
        <is>
          <t>Parque Amazônia</t>
        </is>
      </c>
      <c r="G25" s="3" t="inlineStr">
        <is>
          <t>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74</v>
      </c>
      <c r="P25" s="3" t="inlineStr">
        <is>
          <t>Encaixe 31/35 · Decisor 12/20 · Evidência 8/20 · Balcão 9/10 · Rota 14/15</t>
        </is>
      </c>
      <c r="Q25" s="3" t="inlineStr">
        <is>
          <t>Franquia local: o franqueado costuma ter autonomia para itens de balcão.</t>
        </is>
      </c>
      <c r="R25" s="3" t="inlineStr">
        <is>
          <t>Fraca: guia de bairro + matéria de 2017</t>
        </is>
      </c>
      <c r="S25" s="3" t="inlineStr">
        <is>
          <t>https://tapajosengenharia.com.br/descubra-parque-amazonia/ | https://www.jornalopcao.com.br/ultimas-noticias/avenida-no-parque-amazonia-e-opcao-gastronomica-para-fugir-da-mesmice-veja-o-que-fazer-112549/</t>
        </is>
      </c>
      <c r="T25" s="3" t="inlineStr">
        <is>
          <t>≈ 2–4 min a pé (estimativa)</t>
        </is>
      </c>
      <c r="U25" s="3" t="inlineStr">
        <is>
          <t>≈ 180–300 m (estimativa; rota não verificada)</t>
        </is>
      </c>
      <c r="V25" s="3" t="inlineStr">
        <is>
          <t>5–12 min (na abertura)</t>
        </is>
      </c>
      <c r="W25" s="3" t="inlineStr">
        <is>
          <t>16h30–18h30 (abertura)</t>
        </is>
      </c>
      <c r="X25" s="3" t="inlineStr">
        <is>
          <t>17:43</t>
        </is>
      </c>
      <c r="Y25" s="3" t="inlineStr">
        <is>
          <t>Não visitado</t>
        </is>
      </c>
      <c r="Z25" s="3" t="inlineStr"/>
      <c r="AA25" s="3" t="inlineStr"/>
      <c r="AB25" s="3" t="inlineStr">
        <is>
          <t>Confirmar existência e falar com o responsável</t>
        </is>
      </c>
    </row>
    <row r="26">
      <c r="A26" s="3" t="inlineStr">
        <is>
          <t>Terça-feira, 27/10/2026</t>
        </is>
      </c>
      <c r="B26" s="3" t="n">
        <v>25</v>
      </c>
      <c r="C26" s="3" t="inlineStr">
        <is>
          <t>Blends Burger Artesanal</t>
        </is>
      </c>
      <c r="D26" s="3" t="inlineStr">
        <is>
          <t>Hamburgueria</t>
        </is>
      </c>
      <c r="E26" s="3" t="inlineStr">
        <is>
          <t>Alameda Imbé, Qd. 30, Lt. 06</t>
        </is>
      </c>
      <c r="F26" s="3" t="inlineStr">
        <is>
          <t>Parque Amazônia</t>
        </is>
      </c>
      <c r="G26" s="3" t="inlineStr">
        <is>
          <t>Goiânia</t>
        </is>
      </c>
      <c r="H26" s="3" t="inlineStr">
        <is>
          <t>não confirmado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não confirmado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85</v>
      </c>
      <c r="P26" s="3" t="inlineStr">
        <is>
          <t>Encaixe 31/35 · Decisor 18/20 · Evidência 13/20 · Balcão 9/10 · Rota 14/15</t>
        </is>
      </c>
      <c r="Q26" s="3" t="inlineStr">
        <is>
          <t>Hamburgueria artesanal: público jovem que usa celular e avalia.</t>
        </is>
      </c>
      <c r="R26" s="3" t="inlineStr">
        <is>
          <t>Média: 2 matérias (2022 e s/ data)</t>
        </is>
      </c>
      <c r="S26" s="3" t="inlineStr">
        <is>
          <t>https://ohoje.com/2022/09/20/hamburguerias-em-goiania-que-voce-precisa-conhecer/ | https://www.maisgoias.com.br/divirta-se/hamburguerias-em-goiania-pra-quem-nao-dispensa-um-lanche-caprichado/</t>
        </is>
      </c>
      <c r="T26" s="3" t="inlineStr">
        <is>
          <t>≈ 1–4 min a pé (estimativa)</t>
        </is>
      </c>
      <c r="U26" s="3" t="inlineStr">
        <is>
          <t>≈ 50–300 m (estimativa; rota não verificada)</t>
        </is>
      </c>
      <c r="V26" s="3" t="inlineStr">
        <is>
          <t>5–12 min (na abertura)</t>
        </is>
      </c>
      <c r="W26" s="3" t="inlineStr">
        <is>
          <t>16h30–18h30 (abertura)</t>
        </is>
      </c>
      <c r="X26" s="3" t="inlineStr">
        <is>
          <t>17:58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Terça-feira, 27/10/2026</t>
        </is>
      </c>
      <c r="B27" s="3" t="n">
        <v>26</v>
      </c>
      <c r="C27" s="3" t="inlineStr">
        <is>
          <t>Sakata</t>
        </is>
      </c>
      <c r="D27" s="3" t="inlineStr">
        <is>
          <t>Restaurante japonês</t>
        </is>
      </c>
      <c r="E27" s="3" t="inlineStr">
        <is>
          <t>Av. Alexandre de Morais, Qd. 6, Lt. 10</t>
        </is>
      </c>
      <c r="F27" s="3" t="inlineStr">
        <is>
          <t>Parque Amazônia</t>
        </is>
      </c>
      <c r="G27" s="3" t="inlineStr">
        <is>
          <t>Goiânia</t>
        </is>
      </c>
      <c r="H27" s="3" t="inlineStr">
        <is>
          <t>(62) 3678-9823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—</t>
        </is>
      </c>
      <c r="L27" s="3" t="inlineStr">
        <is>
          <t>todos os dias 18h-23h (dados de 2017)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80</v>
      </c>
      <c r="P27" s="3" t="inlineStr">
        <is>
          <t>Encaixe 31/35 · Decisor 18/20 · Evidência 8/20 · Balcão 9/10 · Rota 14/15</t>
        </is>
      </c>
      <c r="Q27" s="3" t="inlineStr">
        <is>
          <t>Japonês com rodízio; ticket médio maior e cliente que pesquisa avaliações.</t>
        </is>
      </c>
      <c r="R27" s="3" t="inlineStr">
        <is>
          <t>Fraca: só matéria de 2017: verificar se ainda existe</t>
        </is>
      </c>
      <c r="S27" s="3" t="inlineStr">
        <is>
          <t>https://www.jornalopcao.com.br/ultimas-noticias/avenida-no-parque-amazonia-e-opcao-gastronomica-para-fugir-da-mesmice-veja-o-que-fazer-112549/</t>
        </is>
      </c>
      <c r="T27" s="3" t="inlineStr">
        <is>
          <t>≈ 1–4 min a pé (estimativa)</t>
        </is>
      </c>
      <c r="U27" s="3" t="inlineStr">
        <is>
          <t>≈ 50–300 m (estimativa; rota não verificada)</t>
        </is>
      </c>
      <c r="V27" s="3" t="inlineStr">
        <is>
          <t>5–12 min (na abertura)</t>
        </is>
      </c>
      <c r="W27" s="3" t="inlineStr">
        <is>
          <t>16h30–18h30 (abertura)</t>
        </is>
      </c>
      <c r="X27" s="3" t="inlineStr">
        <is>
          <t>18:12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Terça-feira, 27/10/2026</t>
        </is>
      </c>
      <c r="B28" s="3" t="n">
        <v>27</v>
      </c>
      <c r="C28" s="3" t="inlineStr">
        <is>
          <t>DG Burger Parque Amazônia</t>
        </is>
      </c>
      <c r="D28" s="3" t="inlineStr">
        <is>
          <t>Hamburgueria / pastelaria</t>
        </is>
      </c>
      <c r="E28" s="3" t="inlineStr">
        <is>
          <t>Av. Rio Verde, Qd. 5, Lt. 7, CEP 74840-150</t>
        </is>
      </c>
      <c r="F28" s="3" t="inlineStr">
        <is>
          <t>Parque Amazônia</t>
        </is>
      </c>
      <c r="G28" s="3" t="inlineStr">
        <is>
          <t>Goiânia</t>
        </is>
      </c>
      <c r="H28" s="3" t="inlineStr">
        <is>
          <t>não confirmado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não confirmado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85</v>
      </c>
      <c r="P28" s="3" t="inlineStr">
        <is>
          <t>Encaixe 31/35 · Decisor 18/20 · Evidência 13/20 · Balcão 9/10 · Rota 14/15</t>
        </is>
      </c>
      <c r="Q28" s="3" t="inlineStr">
        <is>
          <t>Delivery + balcão; a placa ajuda no atendimento presencial.</t>
        </is>
      </c>
      <c r="R28" s="3" t="inlineStr">
        <is>
          <t>Média: cardápio ativo no Rappi</t>
        </is>
      </c>
      <c r="S28" s="3" t="inlineStr">
        <is>
          <t>https://www.rappi.com.br/restaurantes/900689410-dg-burger-parque-amazonia</t>
        </is>
      </c>
      <c r="T28" s="3" t="inlineStr">
        <is>
          <t>≈ 1–4 min a pé (estimativa)</t>
        </is>
      </c>
      <c r="U28" s="3" t="inlineStr">
        <is>
          <t>≈ 100–300 m (estimativa; rota não verificada)</t>
        </is>
      </c>
      <c r="V28" s="3" t="inlineStr">
        <is>
          <t>5–12 min (na abertura)</t>
        </is>
      </c>
      <c r="W28" s="3" t="inlineStr">
        <is>
          <t>16h30–18h30 (abertura)</t>
        </is>
      </c>
      <c r="X28" s="3" t="inlineStr">
        <is>
          <t>18:27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Terça-feira, 27/10/2026</t>
        </is>
      </c>
      <c r="B29" s="3" t="n">
        <v>28</v>
      </c>
      <c r="C29" s="3" t="inlineStr">
        <is>
          <t>Pizzaria Empório da Pizza – Parque Amazônia</t>
        </is>
      </c>
      <c r="D29" s="3" t="inlineStr">
        <is>
          <t>Pizzaria</t>
        </is>
      </c>
      <c r="E29" s="3" t="inlineStr">
        <is>
          <t>Av. Rio Verde, 1020</t>
        </is>
      </c>
      <c r="F29" s="3" t="inlineStr">
        <is>
          <t>Parque Amazônia</t>
        </is>
      </c>
      <c r="G29" s="3" t="inlineStr">
        <is>
          <t>Goiânia</t>
        </is>
      </c>
      <c r="H29" s="3" t="inlineStr">
        <is>
          <t>não confirmado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77</v>
      </c>
      <c r="P29" s="3" t="inlineStr">
        <is>
          <t>Encaixe 31/35 · Decisor 18/20 · Evidência 8/20 · Balcão 9/10 · Rota 11/15</t>
        </is>
      </c>
      <c r="Q29" s="3" t="inlineStr">
        <is>
          <t>Pizzaria de bairro; abordar na abertura do turno da noite.</t>
        </is>
      </c>
      <c r="R29" s="3" t="inlineStr">
        <is>
          <t>Fraca: 1 diretório</t>
        </is>
      </c>
      <c r="S29" s="3" t="inlineStr">
        <is>
          <t>https://www.apontador.com.br/local/go/goiania/pizzarias/4AGVDQW8/pizzaria_emporio_da_pizza_parque_amazonia.html</t>
        </is>
      </c>
      <c r="T29" s="3" t="inlineStr">
        <is>
          <t>≈ 1–11 min a pé (estimativa)</t>
        </is>
      </c>
      <c r="U29" s="3" t="inlineStr">
        <is>
          <t>≈ 100–800 m (estimativa; rota não verificada)</t>
        </is>
      </c>
      <c r="V29" s="3" t="inlineStr">
        <is>
          <t>5–12 min (na abertura)</t>
        </is>
      </c>
      <c r="W29" s="3" t="inlineStr">
        <is>
          <t>16h30–18h30 (abertura)</t>
        </is>
      </c>
      <c r="X29" s="3" t="inlineStr">
        <is>
          <t>18:45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</sheetData>
  <dataValidations count="1">
    <dataValidation sqref="Y2:Y29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Quarta-feira, 28/10/2026</t>
        </is>
      </c>
      <c r="B2" s="3" t="n">
        <v>1</v>
      </c>
      <c r="C2" s="3" t="inlineStr">
        <is>
          <t>Automecânica Dibraz</t>
        </is>
      </c>
      <c r="D2" s="3" t="inlineStr">
        <is>
          <t>Oficina mecânica</t>
        </is>
      </c>
      <c r="E2" s="3" t="inlineStr">
        <is>
          <t>Av. Feira de Santana, 904, Qd. 159, Lt. 8</t>
        </is>
      </c>
      <c r="F2" s="3" t="inlineStr">
        <is>
          <t>Parque Amazônia</t>
        </is>
      </c>
      <c r="G2" s="3" t="inlineStr">
        <is>
          <t>Goiânia</t>
        </is>
      </c>
      <c r="H2" s="3" t="inlineStr">
        <is>
          <t>(62) 3941-7020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81</v>
      </c>
      <c r="P2" s="3" t="inlineStr">
        <is>
          <t>Encaixe 28/35 · Decisor 18/20 · Evidência 13/20 · Balcão 8/10 · Rota 14/15</t>
        </is>
      </c>
      <c r="Q2" s="3" t="inlineStr">
        <is>
          <t>Oficina: confiança é o principal critério do cliente.</t>
        </is>
      </c>
      <c r="R2" s="3" t="inlineStr">
        <is>
          <t>Média: diretório com nome, número e telefone</t>
        </is>
      </c>
      <c r="S2" s="3" t="inlineStr">
        <is>
          <t>https://www.enkontre.com.br/busca/goiania-go/restauracao-oficina-mecanica-lanternagem-e-pintura/setor/parque-amazonia</t>
        </is>
      </c>
      <c r="T2" s="3" t="inlineStr">
        <is>
          <t>≈ 5–20 min a pé (estimativa)</t>
        </is>
      </c>
      <c r="U2" s="3" t="inlineStr">
        <is>
          <t>≈ 400–1500 m (estimativa; rota não verificada)</t>
        </is>
      </c>
      <c r="V2" s="3" t="inlineStr">
        <is>
          <t>6–12 min</t>
        </is>
      </c>
      <c r="W2" s="3" t="inlineStr">
        <is>
          <t>8h–11h30 ou 14h–17h</t>
        </is>
      </c>
      <c r="X2" s="3" t="inlineStr">
        <is>
          <t>08:42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Quarta-feira, 28/10/2026</t>
        </is>
      </c>
      <c r="B3" s="3" t="n">
        <v>2</v>
      </c>
      <c r="C3" s="3" t="inlineStr">
        <is>
          <t>Daynná Martins Moda Cristã</t>
        </is>
      </c>
      <c r="D3" s="3" t="inlineStr">
        <is>
          <t>Loja de roupas</t>
        </is>
      </c>
      <c r="E3" s="3" t="inlineStr">
        <is>
          <t>Rua Belo Horizonte, Qd. 159, Lt. 18, CEP 74843-100</t>
        </is>
      </c>
      <c r="F3" s="3" t="inlineStr">
        <is>
          <t>Parque Amazônia</t>
        </is>
      </c>
      <c r="G3" s="3" t="inlineStr">
        <is>
          <t>Goiânia</t>
        </is>
      </c>
      <c r="H3" s="3" t="inlineStr">
        <is>
          <t>WhatsApp (62) 99653-7343 / (62) 98530-9606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76</v>
      </c>
      <c r="P3" s="3" t="inlineStr">
        <is>
          <t>Encaixe 22/35 · Decisor 18/20 · Evidência 13/20 · Balcão 9/10 · Rota 14/15</t>
        </is>
      </c>
      <c r="Q3" s="3" t="inlineStr">
        <is>
          <t>Loja de nicho com clientela fiel e atendimento pessoal.</t>
        </is>
      </c>
      <c r="R3" s="3" t="inlineStr">
        <is>
          <t>Média: diretório com dois WhatsApps</t>
        </is>
      </c>
      <c r="S3" s="3" t="inlineStr">
        <is>
          <t>https://goiania.infoisinfo-br.com/busca/lojas-roupas-e-outros</t>
        </is>
      </c>
      <c r="T3" s="3" t="inlineStr">
        <is>
          <t>≈ 1–4 min a pé (estimativa)</t>
        </is>
      </c>
      <c r="U3" s="3" t="inlineStr">
        <is>
          <t>≈ 50–300 m (estimativa; rota não verificada)</t>
        </is>
      </c>
      <c r="V3" s="3" t="inlineStr">
        <is>
          <t>5–10 min</t>
        </is>
      </c>
      <c r="W3" s="3" t="inlineStr">
        <is>
          <t>9h–12h ou 14h–17h</t>
        </is>
      </c>
      <c r="X3" s="3" t="inlineStr">
        <is>
          <t>08:57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Quarta-feira, 28/10/2026</t>
        </is>
      </c>
      <c r="B4" s="3" t="n">
        <v>3</v>
      </c>
      <c r="C4" s="3" t="inlineStr">
        <is>
          <t>Sarça Restaurante</t>
        </is>
      </c>
      <c r="D4" s="3" t="inlineStr">
        <is>
          <t>Restaurante</t>
        </is>
      </c>
      <c r="E4" s="3" t="inlineStr">
        <is>
          <t>Av. José Rodrigues de Morais Neto, Qd. 157, Lt. 1</t>
        </is>
      </c>
      <c r="F4" s="3" t="inlineStr">
        <is>
          <t>Parque Amazônia</t>
        </is>
      </c>
      <c r="G4" s="3" t="inlineStr">
        <is>
          <t>Goiânia</t>
        </is>
      </c>
      <c r="H4" s="3" t="inlineStr">
        <is>
          <t>(62) 3095-4924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TripAdvisor: 4,5 (10 avaliações; mesmo nome, não confirmado)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85</v>
      </c>
      <c r="P4" s="3" t="inlineStr">
        <is>
          <t>Encaixe 31/35 · Decisor 18/20 · Evidência 13/20 · Balcão 9/10 · Rota 14/15</t>
        </is>
      </c>
      <c r="Q4" s="3" t="inlineStr">
        <is>
          <t>Restaurante de almoço; visitar antes das 11h.</t>
        </is>
      </c>
      <c r="R4" s="3" t="inlineStr">
        <is>
          <t>Média: diretório + TripAdvisor</t>
        </is>
      </c>
      <c r="S4" s="3" t="inlineStr">
        <is>
          <t>https://www.guiatelefone.com/empresas/goiania-go/bairro/parque-amazonia/restaurantes/restaurante</t>
        </is>
      </c>
      <c r="T4" s="3" t="inlineStr">
        <is>
          <t>≈ 3–8 min a pé (estimativa)</t>
        </is>
      </c>
      <c r="U4" s="3" t="inlineStr">
        <is>
          <t>≈ 200–600 m (estimativa; rota não verificada)</t>
        </is>
      </c>
      <c r="V4" s="3" t="inlineStr">
        <is>
          <t>5–12 min (fora do pico)</t>
        </is>
      </c>
      <c r="W4" s="3" t="inlineStr">
        <is>
          <t>9h30–11h ou 14h30–16h30</t>
        </is>
      </c>
      <c r="X4" s="3" t="inlineStr">
        <is>
          <t>09:14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Quarta-feira, 28/10/2026</t>
        </is>
      </c>
      <c r="B5" s="3" t="n">
        <v>4</v>
      </c>
      <c r="C5" s="3" t="inlineStr">
        <is>
          <t>Loja Gontijo</t>
        </is>
      </c>
      <c r="D5" s="3" t="inlineStr">
        <is>
          <t>Calçados e roupas</t>
        </is>
      </c>
      <c r="E5" s="3" t="inlineStr">
        <is>
          <t>Praça Sen. José Rodrigues de Morais Neto, 108</t>
        </is>
      </c>
      <c r="F5" s="3" t="inlineStr">
        <is>
          <t>Parque Amazônia</t>
        </is>
      </c>
      <c r="G5" s="3" t="inlineStr">
        <is>
          <t>Goiânia</t>
        </is>
      </c>
      <c r="H5" s="3" t="inlineStr">
        <is>
          <t>não confirmado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71</v>
      </c>
      <c r="P5" s="3" t="inlineStr">
        <is>
          <t>Encaixe 22/35 · Decisor 18/20 · Evidência 8/20 · Balcão 9/10 · Rota 14/15</t>
        </is>
      </c>
      <c r="Q5" s="3" t="inlineStr">
        <is>
          <t>Loja de rua na praça mais movimentada do bairro.</t>
        </is>
      </c>
      <c r="R5" s="3" t="inlineStr">
        <is>
          <t>Fraca: 1 diretório</t>
        </is>
      </c>
      <c r="S5" s="3" t="inlineStr">
        <is>
          <t>https://goiania.infoisinfo-br.com/busca/lojas-roupas-e-outros</t>
        </is>
      </c>
      <c r="T5" s="3" t="inlineStr">
        <is>
          <t>≈ 3–8 min a pé (estimativa)</t>
        </is>
      </c>
      <c r="U5" s="3" t="inlineStr">
        <is>
          <t>≈ 200–600 m (estimativa; rota não verificada)</t>
        </is>
      </c>
      <c r="V5" s="3" t="inlineStr">
        <is>
          <t>5–10 min</t>
        </is>
      </c>
      <c r="W5" s="3" t="inlineStr">
        <is>
          <t>9h–12h ou 14h–17h</t>
        </is>
      </c>
      <c r="X5" s="3" t="inlineStr">
        <is>
          <t>09:31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Quarta-feira, 28/10/2026</t>
        </is>
      </c>
      <c r="B6" s="3" t="n">
        <v>5</v>
      </c>
      <c r="C6" s="3" t="inlineStr">
        <is>
          <t>Zero62ois Burguer &amp; Açaí</t>
        </is>
      </c>
      <c r="D6" s="3" t="inlineStr">
        <is>
          <t>Hamburgueria / açaí</t>
        </is>
      </c>
      <c r="E6" s="3" t="inlineStr">
        <is>
          <t>Praça Sen. José Rodrigues de Morais (Filho/Neto), CEP 74835-520</t>
        </is>
      </c>
      <c r="F6" s="3" t="inlineStr">
        <is>
          <t>Parque Amazônia</t>
        </is>
      </c>
      <c r="G6" s="3" t="inlineStr">
        <is>
          <t>Goiânia</t>
        </is>
      </c>
      <c r="H6" s="3" t="inlineStr">
        <is>
          <t>não confirmado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—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80</v>
      </c>
      <c r="P6" s="3" t="inlineStr">
        <is>
          <t>Encaixe 31/35 · Decisor 18/20 · Evidência 8/20 · Balcão 9/10 · Rota 14/15</t>
        </is>
      </c>
      <c r="Q6" s="3" t="inlineStr">
        <is>
          <t>Açaí/lanche: público jovem, avaliação rápida pelo celular.</t>
        </is>
      </c>
      <c r="R6" s="3" t="inlineStr">
        <is>
          <t>Fraca: lista de delivery</t>
        </is>
      </c>
      <c r="S6" s="3" t="inlineStr">
        <is>
          <t>https://www.fidfacil.com.br/lista/goiania-go/lojas/acai-sorvete</t>
        </is>
      </c>
      <c r="T6" s="3" t="inlineStr">
        <is>
          <t>≈ 0–2 min a pé (estimativa)</t>
        </is>
      </c>
      <c r="U6" s="3" t="inlineStr">
        <is>
          <t>≈ 0–150 m (estimativa; rota não verificada)</t>
        </is>
      </c>
      <c r="V6" s="3" t="inlineStr">
        <is>
          <t>5–12 min (na abertura)</t>
        </is>
      </c>
      <c r="W6" s="3" t="inlineStr">
        <is>
          <t>16h30–18h30 (abertura)</t>
        </is>
      </c>
      <c r="X6" s="3" t="inlineStr">
        <is>
          <t>09:44</t>
        </is>
      </c>
      <c r="Y6" s="3" t="inlineStr">
        <is>
          <t>Não visitado</t>
        </is>
      </c>
      <c r="Z6" s="3" t="inlineStr"/>
      <c r="AA6" s="3" t="inlineStr"/>
      <c r="AB6" s="3" t="inlineStr">
        <is>
          <t>Confirmar existência e falar com o responsável</t>
        </is>
      </c>
    </row>
    <row r="7">
      <c r="A7" s="3" t="inlineStr">
        <is>
          <t>Quarta-feira, 28/10/2026</t>
        </is>
      </c>
      <c r="B7" s="3" t="n">
        <v>6</v>
      </c>
      <c r="C7" s="3" t="inlineStr">
        <is>
          <t>Mundo dos Bichos Clínica Veterinária e Pet Shop</t>
        </is>
      </c>
      <c r="D7" s="3" t="inlineStr">
        <is>
          <t>Clínica veterinária / pet shop</t>
        </is>
      </c>
      <c r="E7" s="3" t="inlineStr">
        <is>
          <t>Av. Sen. José Rodrigues de Morais Neto, 1843, Qd. 165, Lt. 02, CEP 74835-620</t>
        </is>
      </c>
      <c r="F7" s="3" t="inlineStr">
        <is>
          <t>Parque Amazônia</t>
        </is>
      </c>
      <c r="G7" s="3" t="inlineStr">
        <is>
          <t>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80</v>
      </c>
      <c r="P7" s="3" t="inlineStr">
        <is>
          <t>Encaixe 31/35 · Decisor 18/20 · Evidência 8/20 · Balcão 9/10 · Rota 14/15</t>
        </is>
      </c>
      <c r="Q7" s="3" t="inlineStr">
        <is>
          <t>Vet + pet; tutores decidem muito por avaliações.</t>
        </is>
      </c>
      <c r="R7" s="3" t="inlineStr">
        <is>
          <t>Fraca: 1 diretório (dados antigos)</t>
        </is>
      </c>
      <c r="S7" s="3" t="inlineStr">
        <is>
          <t>https://ranklevel.com.br/empresa/goiania/mundo-dos-bichos-clinica-veterinaria-e-pet-shop/</t>
        </is>
      </c>
      <c r="T7" s="3" t="inlineStr">
        <is>
          <t>≈ 1–3 min a pé (estimativa)</t>
        </is>
      </c>
      <c r="U7" s="3" t="inlineStr">
        <is>
          <t>≈ 50–250 m (estimativa; rota não verificada)</t>
        </is>
      </c>
      <c r="V7" s="3" t="inlineStr">
        <is>
          <t>6–12 min</t>
        </is>
      </c>
      <c r="W7" s="3" t="inlineStr">
        <is>
          <t>8h30–11h30 ou 14h–16h30</t>
        </is>
      </c>
      <c r="X7" s="3" t="inlineStr">
        <is>
          <t>09:58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Quarta-feira, 28/10/2026</t>
        </is>
      </c>
      <c r="B8" s="3" t="n">
        <v>7</v>
      </c>
      <c r="C8" s="3" t="inlineStr">
        <is>
          <t>E.V.S. Salão de Beleza Hair and Make-Up</t>
        </is>
      </c>
      <c r="D8" s="3" t="inlineStr">
        <is>
          <t>Salão de beleza</t>
        </is>
      </c>
      <c r="E8" s="3" t="inlineStr">
        <is>
          <t>Av. José Rodrigues de Morais Neto, 1784, Qd. 171, Lt. 32, Sala 02, CEP 74835-310 (também listado na R. Anhangá, Qd. 171, Lt. 31)</t>
        </is>
      </c>
      <c r="F8" s="3" t="inlineStr">
        <is>
          <t>Parque Amazônia</t>
        </is>
      </c>
      <c r="G8" s="3" t="inlineStr">
        <is>
          <t>Goiânia</t>
        </is>
      </c>
      <c r="H8" s="3" t="inlineStr">
        <is>
          <t>(62) 3280-6606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87</v>
      </c>
      <c r="P8" s="3" t="inlineStr">
        <is>
          <t>Encaixe 33/35 · Decisor 18/20 · Evidência 13/20 · Balcão 9/10 · Rota 14/15</t>
        </is>
      </c>
      <c r="Q8" s="3" t="inlineStr">
        <is>
          <t>Salão estabelecido (desde 2010) com clientela fixa.</t>
        </is>
      </c>
      <c r="R8" s="3" t="inlineStr">
        <is>
          <t>Média: 2 diretórios; no endereço desde 2010</t>
        </is>
      </c>
      <c r="S8" s="3" t="inlineStr">
        <is>
          <t>https://salaodebelezaspertodemim.com/e/e-v-s-salao-de-beleza-hair-and-make-up-ceuvdc/ | https://www.guiatelefone.com/empresas/goiania-go/bairro/parque-amazonia/institutos-de-beleza/saloes-de-beleza-e-cabeleireiros</t>
        </is>
      </c>
      <c r="T8" s="3" t="inlineStr">
        <is>
          <t>≈ 1–2 min a pé (estimativa)</t>
        </is>
      </c>
      <c r="U8" s="3" t="inlineStr">
        <is>
          <t>≈ 50–150 m (estimativa; rota não verificada)</t>
        </is>
      </c>
      <c r="V8" s="3" t="inlineStr">
        <is>
          <t>6–15 min (pode haver cliente em atendimento)</t>
        </is>
      </c>
      <c r="W8" s="3" t="inlineStr">
        <is>
          <t>9h–11h ou 14h–16h</t>
        </is>
      </c>
      <c r="X8" s="3" t="inlineStr">
        <is>
          <t>10:12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Quarta-feira, 28/10/2026</t>
        </is>
      </c>
      <c r="B9" s="3" t="n">
        <v>8</v>
      </c>
      <c r="C9" s="3" t="inlineStr">
        <is>
          <t>R &amp; C Hair</t>
        </is>
      </c>
      <c r="D9" s="3" t="inlineStr">
        <is>
          <t>Salão de beleza</t>
        </is>
      </c>
      <c r="E9" s="3" t="inlineStr">
        <is>
          <t>Av. José Rodrigues de Morais Neto, Qd. 171, Lt. 32</t>
        </is>
      </c>
      <c r="F9" s="3" t="inlineStr">
        <is>
          <t>Parque Amazônia</t>
        </is>
      </c>
      <c r="G9" s="3" t="inlineStr">
        <is>
          <t>Goiânia</t>
        </is>
      </c>
      <c r="H9" s="3" t="inlineStr">
        <is>
          <t>(62) 3942-2435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não confirmado</t>
        </is>
      </c>
      <c r="M9" s="5" t="inlineStr">
        <is>
          <t>Abrir no Maps</t>
        </is>
      </c>
      <c r="N9" s="5" t="inlineStr">
        <is>
          <t>Rota a pé</t>
        </is>
      </c>
      <c r="O9" s="3" t="n">
        <v>82</v>
      </c>
      <c r="P9" s="3" t="inlineStr">
        <is>
          <t>Encaixe 33/35 · Decisor 18/20 · Evidência 8/20 · Balcão 9/10 · Rota 14/15</t>
        </is>
      </c>
      <c r="Q9" s="3" t="inlineStr">
        <is>
          <t>Salão vizinho do anterior: duas visitas em uma parada.</t>
        </is>
      </c>
      <c r="R9" s="3" t="inlineStr">
        <is>
          <t>Fraca: 1 diretório; mesmo lote do E.V.S.</t>
        </is>
      </c>
      <c r="S9" s="3" t="inlineStr">
        <is>
          <t>https://www.guiatelefone.com/empresas/goiania-go/bairro/parque-amazonia/institutos-de-beleza/saloes-de-beleza-e-cabeleireiros</t>
        </is>
      </c>
      <c r="T9" s="3" t="inlineStr">
        <is>
          <t>≈ 0–1 min a pé (estimativa)</t>
        </is>
      </c>
      <c r="U9" s="3" t="inlineStr">
        <is>
          <t>≈ 0–30 m (estimativa; rota não verificada)</t>
        </is>
      </c>
      <c r="V9" s="3" t="inlineStr">
        <is>
          <t>6–15 min (pode haver cliente em atendimento)</t>
        </is>
      </c>
      <c r="W9" s="3" t="inlineStr">
        <is>
          <t>9h–11h ou 14h–16h</t>
        </is>
      </c>
      <c r="X9" s="3" t="inlineStr">
        <is>
          <t>10:24</t>
        </is>
      </c>
      <c r="Y9" s="3" t="inlineStr">
        <is>
          <t>Não visitado</t>
        </is>
      </c>
      <c r="Z9" s="3" t="inlineStr"/>
      <c r="AA9" s="3" t="inlineStr">
        <is>
          <t>Depois desta visita: Pausa: água/descanso (15 min)</t>
        </is>
      </c>
      <c r="AB9" s="3" t="inlineStr">
        <is>
          <t>Confirmar existência e falar com o responsável</t>
        </is>
      </c>
    </row>
    <row r="10">
      <c r="A10" s="3" t="inlineStr">
        <is>
          <t>Quarta-feira, 28/10/2026</t>
        </is>
      </c>
      <c r="B10" s="3" t="n">
        <v>9</v>
      </c>
      <c r="C10" s="3" t="inlineStr">
        <is>
          <t>Renaissance Inez Cabeleireiros</t>
        </is>
      </c>
      <c r="D10" s="3" t="inlineStr">
        <is>
          <t>Salão de beleza</t>
        </is>
      </c>
      <c r="E10" s="3" t="inlineStr">
        <is>
          <t>Rua Anhangá, Qd. 171, Lt. 30</t>
        </is>
      </c>
      <c r="F10" s="3" t="inlineStr">
        <is>
          <t>Parque Amazônia</t>
        </is>
      </c>
      <c r="G10" s="3" t="inlineStr">
        <is>
          <t>Goiânia</t>
        </is>
      </c>
      <c r="H10" s="3" t="inlineStr">
        <is>
          <t>(62) 99998-2009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não confirmado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82</v>
      </c>
      <c r="P10" s="3" t="inlineStr">
        <is>
          <t>Encaixe 33/35 · Decisor 18/20 · Evidência 8/20 · Balcão 9/10 · Rota 14/15</t>
        </is>
      </c>
      <c r="Q10" s="3" t="inlineStr">
        <is>
          <t>Salão de bairro; dona costuma atender.</t>
        </is>
      </c>
      <c r="R10" s="3" t="inlineStr">
        <is>
          <t>Fraca: 1 diretório</t>
        </is>
      </c>
      <c r="S10" s="3" t="inlineStr">
        <is>
          <t>https://www.guiatelefone.com/empresas/goiania-go/bairro/parque-amazonia/institutos-de-beleza/saloes-de-beleza-e-cabeleireiros</t>
        </is>
      </c>
      <c r="T10" s="3" t="inlineStr">
        <is>
          <t>≈ 0–2 min a pé (estimativa)</t>
        </is>
      </c>
      <c r="U10" s="3" t="inlineStr">
        <is>
          <t>≈ 30–150 m (estimativa; rota não verificada)</t>
        </is>
      </c>
      <c r="V10" s="3" t="inlineStr">
        <is>
          <t>6–15 min (pode haver cliente em atendimento)</t>
        </is>
      </c>
      <c r="W10" s="3" t="inlineStr">
        <is>
          <t>9h–11h ou 14h–16h</t>
        </is>
      </c>
      <c r="X10" s="3" t="inlineStr">
        <is>
          <t>10:52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Quarta-feira, 28/10/2026</t>
        </is>
      </c>
      <c r="B11" s="3" t="n">
        <v>10</v>
      </c>
      <c r="C11" s="3" t="inlineStr">
        <is>
          <t>Elcione Cabeleireiros</t>
        </is>
      </c>
      <c r="D11" s="3" t="inlineStr">
        <is>
          <t>Salão de beleza</t>
        </is>
      </c>
      <c r="E11" s="3" t="inlineStr">
        <is>
          <t>Av. José Rodrigues de Morais Neto, Qd. 198, Lt. 6</t>
        </is>
      </c>
      <c r="F11" s="3" t="inlineStr">
        <is>
          <t>Parque Amazônia</t>
        </is>
      </c>
      <c r="G11" s="3" t="inlineStr">
        <is>
          <t>Goiânia</t>
        </is>
      </c>
      <c r="H11" s="3" t="inlineStr">
        <is>
          <t>(62) 3280-8665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não confirmado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33/35 · Decisor 18/20 · Evidência 13/20 · Balcão 9/10 · Rota 14/15</t>
        </is>
      </c>
      <c r="Q11" s="3" t="inlineStr">
        <is>
          <t>Salão de bairro estabelecido.</t>
        </is>
      </c>
      <c r="R11" s="3" t="inlineStr">
        <is>
          <t>Média: 2 diretórios</t>
        </is>
      </c>
      <c r="S11" s="3" t="inlineStr">
        <is>
          <t>https://www.guiatelefone.com/empresas/goiania-go/bairro/parque-amazonia/institutos-de-beleza/saloes-de-beleza-e-cabeleireiros | https://www.telelistas.net/go/goiania/em+parque+amazonia/cabeleireiros+e+institutos+de+beleza</t>
        </is>
      </c>
      <c r="T11" s="3" t="inlineStr">
        <is>
          <t>≈ 4–9 min a pé (estimativa)</t>
        </is>
      </c>
      <c r="U11" s="3" t="inlineStr">
        <is>
          <t>≈ 300–700 m (estimativa; rota não verificada)</t>
        </is>
      </c>
      <c r="V11" s="3" t="inlineStr">
        <is>
          <t>6–15 min (pode haver cliente em atendimento)</t>
        </is>
      </c>
      <c r="W11" s="3" t="inlineStr">
        <is>
          <t>9h–11h ou 14h–16h</t>
        </is>
      </c>
      <c r="X11" s="3" t="inlineStr">
        <is>
          <t>11:11</t>
        </is>
      </c>
      <c r="Y11" s="3" t="inlineStr">
        <is>
          <t>Não visitado</t>
        </is>
      </c>
      <c r="Z11" s="3" t="inlineStr"/>
      <c r="AA11" s="3" t="inlineStr"/>
      <c r="AB11" s="3" t="inlineStr">
        <is>
          <t>Confirmar existência e falar com o responsável</t>
        </is>
      </c>
    </row>
    <row r="12">
      <c r="A12" s="3" t="inlineStr">
        <is>
          <t>Quarta-feira, 28/10/2026</t>
        </is>
      </c>
      <c r="B12" s="3" t="n">
        <v>11</v>
      </c>
      <c r="C12" s="3" t="inlineStr">
        <is>
          <t>Athos Academia</t>
        </is>
      </c>
      <c r="D12" s="3" t="inlineStr">
        <is>
          <t>Academia (musculação, pilates)</t>
        </is>
      </c>
      <c r="E12" s="3" t="inlineStr">
        <is>
          <t>Rua Tambuqui, 721 (endereço antigo: Av. JRM Neto, 75, Qd. 199, Lt. 01)</t>
        </is>
      </c>
      <c r="F12" s="3" t="inlineStr">
        <is>
          <t>Parque Amazônia</t>
        </is>
      </c>
      <c r="G12" s="3" t="inlineStr">
        <is>
          <t>Goiânia</t>
        </is>
      </c>
      <c r="H12" s="3" t="inlineStr">
        <is>
          <t>Instagram @athosacademia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84</v>
      </c>
      <c r="P12" s="3" t="inlineStr">
        <is>
          <t>Encaixe 26/35 · Decisor 18/20 · Evidência 18/20 · Balcão 8/10 · Rota 14/15</t>
        </is>
      </c>
      <c r="Q12" s="3" t="inlineStr">
        <is>
          <t>Recepção com fluxo diário de alunos; avaliações pesam na escolha de academia.</t>
        </is>
      </c>
      <c r="R12" s="3" t="inlineStr">
        <is>
          <t>Forte: parceira ativa no Wellhub</t>
        </is>
      </c>
      <c r="S12" s="3" t="inlineStr">
        <is>
          <t>https://wellhub.com/pt-br/search/partners/athos-academia--3/</t>
        </is>
      </c>
      <c r="T12" s="3" t="inlineStr">
        <is>
          <t>≈ 1–5 min a pé (estimativa)</t>
        </is>
      </c>
      <c r="U12" s="3" t="inlineStr">
        <is>
          <t>≈ 100–400 m (estimativa; rota não verificada)</t>
        </is>
      </c>
      <c r="V12" s="3" t="inlineStr">
        <is>
          <t>6–12 min</t>
        </is>
      </c>
      <c r="W12" s="3" t="inlineStr">
        <is>
          <t>9h–11h30 ou 14h–16h30</t>
        </is>
      </c>
      <c r="X12" s="3" t="inlineStr">
        <is>
          <t>11:26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Quarta-feira, 28/10/2026</t>
        </is>
      </c>
      <c r="B13" s="3" t="n">
        <v>12</v>
      </c>
      <c r="C13" s="3" t="inlineStr">
        <is>
          <t>Palazzo Santana</t>
        </is>
      </c>
      <c r="D13" s="3" t="inlineStr">
        <is>
          <t>Salão (maquiagem, cortes, noivas)</t>
        </is>
      </c>
      <c r="E13" s="3" t="inlineStr">
        <is>
          <t>Rua Tambuqui, Qd. 201</t>
        </is>
      </c>
      <c r="F13" s="3" t="inlineStr">
        <is>
          <t>Parque Amazônia</t>
        </is>
      </c>
      <c r="G13" s="3" t="inlineStr">
        <is>
          <t>Goiânia</t>
        </is>
      </c>
      <c r="H13" s="3" t="inlineStr">
        <is>
          <t>não confirmado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82</v>
      </c>
      <c r="P13" s="3" t="inlineStr">
        <is>
          <t>Encaixe 33/35 · Decisor 18/20 · Evidência 8/20 · Balcão 9/10 · Rota 14/15</t>
        </is>
      </c>
      <c r="Q13" s="3" t="inlineStr">
        <is>
          <t>Noivas/maquiagem: decisão de alto valor, cliente lê avaliações.</t>
        </is>
      </c>
      <c r="R13" s="3" t="inlineStr">
        <is>
          <t>Fraca: 1 diretório</t>
        </is>
      </c>
      <c r="S13" s="3" t="inlineStr">
        <is>
          <t>https://www.telelistas.net/locais/go/goiania/cabeleireiros+e+institutos+de+beleza/bu-189819/palazzo+santana+em+parque+amazonia</t>
        </is>
      </c>
      <c r="T13" s="3" t="inlineStr">
        <is>
          <t>≈ 1–4 min a pé (estimativa)</t>
        </is>
      </c>
      <c r="U13" s="3" t="inlineStr">
        <is>
          <t>≈ 50–300 m (estimativa; rota não verificada)</t>
        </is>
      </c>
      <c r="V13" s="3" t="inlineStr">
        <is>
          <t>6–15 min (pode haver cliente em atendimento)</t>
        </is>
      </c>
      <c r="W13" s="3" t="inlineStr">
        <is>
          <t>9h–11h ou 14h–16h</t>
        </is>
      </c>
      <c r="X13" s="3" t="inlineStr">
        <is>
          <t>11:40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Quarta-feira, 28/10/2026</t>
        </is>
      </c>
      <c r="B14" s="3" t="n">
        <v>13</v>
      </c>
      <c r="C14" s="3" t="inlineStr">
        <is>
          <t>Universo Pet</t>
        </is>
      </c>
      <c r="D14" s="3" t="inlineStr">
        <is>
          <t>Pet shop</t>
        </is>
      </c>
      <c r="E14" s="3" t="inlineStr">
        <is>
          <t>Av. Dona Terezinha de Morais, 41, Qd. 195, Lt. 21</t>
        </is>
      </c>
      <c r="F14" s="3" t="inlineStr">
        <is>
          <t>Parque Amazônia</t>
        </is>
      </c>
      <c r="G14" s="3" t="inlineStr">
        <is>
          <t>Goiânia</t>
        </is>
      </c>
      <c r="H14" s="3" t="inlineStr">
        <is>
          <t>(62) 3924-7230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85</v>
      </c>
      <c r="P14" s="3" t="inlineStr">
        <is>
          <t>Encaixe 31/35 · Decisor 18/20 · Evidência 13/20 · Balcão 9/10 · Rota 14/15</t>
        </is>
      </c>
      <c r="Q14" s="3" t="inlineStr">
        <is>
          <t>Pet shop de bairro com balcão.</t>
        </is>
      </c>
      <c r="R14" s="3" t="inlineStr">
        <is>
          <t>Média: 2 diretórios</t>
        </is>
      </c>
      <c r="S14" s="3" t="inlineStr">
        <is>
          <t>https://guiafacil.com/encontre/pet-shop/goiania/go/bairro/parque-amazonia | https://www.guiatelefone.com/empresas/goiania-go/bairro/parque-amazonia/servicos-para-animais/pet-shop</t>
        </is>
      </c>
      <c r="T14" s="3" t="inlineStr">
        <is>
          <t>≈ 1–5 min a pé (estimativa)</t>
        </is>
      </c>
      <c r="U14" s="3" t="inlineStr">
        <is>
          <t>≈ 100–400 m (estimativa; rota não verificada)</t>
        </is>
      </c>
      <c r="V14" s="3" t="inlineStr">
        <is>
          <t>6–12 min</t>
        </is>
      </c>
      <c r="W14" s="3" t="inlineStr">
        <is>
          <t>8h30–11h30 ou 14h–16h30</t>
        </is>
      </c>
      <c r="X14" s="3" t="inlineStr">
        <is>
          <t>11:56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Quarta-feira, 28/10/2026</t>
        </is>
      </c>
      <c r="B15" s="3" t="n">
        <v>14</v>
      </c>
      <c r="C15" s="3" t="inlineStr">
        <is>
          <t>Mecânica Beneton</t>
        </is>
      </c>
      <c r="D15" s="3" t="inlineStr">
        <is>
          <t>Oficina mecânica</t>
        </is>
      </c>
      <c r="E15" s="3" t="inlineStr">
        <is>
          <t>Av. Dona Terezinha de Morais, Qd. 202, Lt. 6</t>
        </is>
      </c>
      <c r="F15" s="3" t="inlineStr">
        <is>
          <t>Parque Amazônia</t>
        </is>
      </c>
      <c r="G15" s="3" t="inlineStr">
        <is>
          <t>Goiânia</t>
        </is>
      </c>
      <c r="H15" s="3" t="inlineStr">
        <is>
          <t>(62) 3548-5467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81</v>
      </c>
      <c r="P15" s="3" t="inlineStr">
        <is>
          <t>Encaixe 28/35 · Decisor 18/20 · Evidência 13/20 · Balcão 8/10 · Rota 14/15</t>
        </is>
      </c>
      <c r="Q15" s="3" t="inlineStr">
        <is>
          <t>Oficina de bairro; dono no local.</t>
        </is>
      </c>
      <c r="R15" s="3" t="inlineStr">
        <is>
          <t>Média: diretório com nome e telefone</t>
        </is>
      </c>
      <c r="S15" s="3" t="inlineStr">
        <is>
          <t>https://www.enkontre.com.br/busca/goiania-go/restauracao-oficina-mecanica-lanternagem-e-pintura/setor/parque-amazonia</t>
        </is>
      </c>
      <c r="T15" s="3" t="inlineStr">
        <is>
          <t>≈ 1–5 min a pé (estimativa)</t>
        </is>
      </c>
      <c r="U15" s="3" t="inlineStr">
        <is>
          <t>≈ 100–400 m (estimativa; rota não verificada)</t>
        </is>
      </c>
      <c r="V15" s="3" t="inlineStr">
        <is>
          <t>6–12 min</t>
        </is>
      </c>
      <c r="W15" s="3" t="inlineStr">
        <is>
          <t>8h–11h30 ou 14h–17h</t>
        </is>
      </c>
      <c r="X15" s="3" t="inlineStr">
        <is>
          <t>12:11</t>
        </is>
      </c>
      <c r="Y15" s="3" t="inlineStr">
        <is>
          <t>Não visitado</t>
        </is>
      </c>
      <c r="Z15" s="3" t="inlineStr"/>
      <c r="AA15" s="3" t="inlineStr"/>
      <c r="AB15" s="3" t="inlineStr">
        <is>
          <t>Confirmar existência e falar com o responsável</t>
        </is>
      </c>
    </row>
    <row r="16">
      <c r="A16" s="3" t="inlineStr">
        <is>
          <t>Quarta-feira, 28/10/2026</t>
        </is>
      </c>
      <c r="B16" s="3" t="n">
        <v>15</v>
      </c>
      <c r="C16" s="3" t="inlineStr">
        <is>
          <t>Tio Pizza</t>
        </is>
      </c>
      <c r="D16" s="3" t="inlineStr">
        <is>
          <t>Pizzaria</t>
        </is>
      </c>
      <c r="E16" s="3" t="inlineStr">
        <is>
          <t>Av. José Rodrigues de Morais Neto, 1130, Qd. 204, Lt. 1 e 2</t>
        </is>
      </c>
      <c r="F16" s="3" t="inlineStr">
        <is>
          <t>Parque Amazônia</t>
        </is>
      </c>
      <c r="G16" s="3" t="inlineStr">
        <is>
          <t>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85</v>
      </c>
      <c r="P16" s="3" t="inlineStr">
        <is>
          <t>Encaixe 31/35 · Decisor 18/20 · Evidência 13/20 · Balcão 9/10 · Rota 14/15</t>
        </is>
      </c>
      <c r="Q16" s="3" t="inlineStr">
        <is>
          <t>Pizzaria; se fechada, deixe material e anote para retorno.</t>
        </is>
      </c>
      <c r="R16" s="3" t="inlineStr">
        <is>
          <t>Média: 2 páginas de diretório</t>
        </is>
      </c>
      <c r="S16" s="3" t="inlineStr">
        <is>
          <t>https://www.guiatelefone.com/goiania-go/restaurantes/581241/tio-pizzas | https://www.guiatelefone.com/empresas/goiania-go/bairro/parque-amazonia/restaurantes/restaurante</t>
        </is>
      </c>
      <c r="T16" s="3" t="inlineStr">
        <is>
          <t>≈ 3–7 min a pé (estimativa)</t>
        </is>
      </c>
      <c r="U16" s="3" t="inlineStr">
        <is>
          <t>≈ 200–500 m (estimativa; rota não verificada)</t>
        </is>
      </c>
      <c r="V16" s="3" t="inlineStr">
        <is>
          <t>5–12 min (na abertura)</t>
        </is>
      </c>
      <c r="W16" s="3" t="inlineStr">
        <is>
          <t>16h30–18h30 (abertura)</t>
        </is>
      </c>
      <c r="X16" s="3" t="inlineStr">
        <is>
          <t>12:28</t>
        </is>
      </c>
      <c r="Y16" s="3" t="inlineStr">
        <is>
          <t>Não visitado</t>
        </is>
      </c>
      <c r="Z16" s="3" t="inlineStr"/>
      <c r="AA16" s="3" t="inlineStr">
        <is>
          <t>Depois desta visita: Almoço (60 min)</t>
        </is>
      </c>
      <c r="AB16" s="3" t="inlineStr">
        <is>
          <t>Confirmar existência e falar com o responsável</t>
        </is>
      </c>
    </row>
    <row r="17">
      <c r="A17" s="3" t="inlineStr">
        <is>
          <t>Quarta-feira, 28/10/2026</t>
        </is>
      </c>
      <c r="B17" s="3" t="n">
        <v>16</v>
      </c>
      <c r="C17" s="3" t="inlineStr">
        <is>
          <t>PLAY Fitness</t>
        </is>
      </c>
      <c r="D17" s="3" t="inlineStr">
        <is>
          <t>Treino funcional / HIIT</t>
        </is>
      </c>
      <c r="E17" s="3" t="inlineStr">
        <is>
          <t>Av. Sen. José Rodrigues de Morais Neto, 730, Qd. 220</t>
        </is>
      </c>
      <c r="F17" s="3" t="inlineStr">
        <is>
          <t>Parque Amazônia</t>
        </is>
      </c>
      <c r="G17" s="3" t="inlineStr">
        <is>
          <t>Goiânia</t>
        </is>
      </c>
      <c r="H17" s="3" t="inlineStr">
        <is>
          <t>Instagram @play_bootcamp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84</v>
      </c>
      <c r="P17" s="3" t="inlineStr">
        <is>
          <t>Encaixe 26/35 · Decisor 18/20 · Evidência 18/20 · Balcão 8/10 · Rota 14/15</t>
        </is>
      </c>
      <c r="Q17" s="3" t="inlineStr">
        <is>
          <t>Estúdio de treino: comunidade engajada, propensa a avaliar.</t>
        </is>
      </c>
      <c r="R17" s="3" t="inlineStr">
        <is>
          <t>Forte: parceira ativa no Wellhub</t>
        </is>
      </c>
      <c r="S17" s="3" t="inlineStr">
        <is>
          <t>https://wellhub.com/pt-br/search/partners/play-fitness-parque-amazonia-goiania/</t>
        </is>
      </c>
      <c r="T17" s="3" t="inlineStr">
        <is>
          <t>≈ 4–9 min a pé (estimativa)</t>
        </is>
      </c>
      <c r="U17" s="3" t="inlineStr">
        <is>
          <t>≈ 300–700 m (estimativa; rota não verificada)</t>
        </is>
      </c>
      <c r="V17" s="3" t="inlineStr">
        <is>
          <t>6–12 min</t>
        </is>
      </c>
      <c r="W17" s="3" t="inlineStr">
        <is>
          <t>9h–11h30 ou 14h–16h30</t>
        </is>
      </c>
      <c r="X17" s="3" t="inlineStr">
        <is>
          <t>13:46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Quarta-feira, 28/10/2026</t>
        </is>
      </c>
      <c r="B18" s="3" t="n">
        <v>17</v>
      </c>
      <c r="C18" s="3" t="inlineStr">
        <is>
          <t>Mauri'Car Mecânica Rápida</t>
        </is>
      </c>
      <c r="D18" s="3" t="inlineStr">
        <is>
          <t>Oficina mecânica</t>
        </is>
      </c>
      <c r="E18" s="3" t="inlineStr">
        <is>
          <t>Av. José Rodrigues de Morais Neto, 655, Qd. 221, Lt. 7</t>
        </is>
      </c>
      <c r="F18" s="3" t="inlineStr">
        <is>
          <t>Parque Amazônia</t>
        </is>
      </c>
      <c r="G18" s="3" t="inlineStr">
        <is>
          <t>Goiânia</t>
        </is>
      </c>
      <c r="H18" s="3" t="inlineStr">
        <is>
          <t>(62) 3086-1710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81</v>
      </c>
      <c r="P18" s="3" t="inlineStr">
        <is>
          <t>Encaixe 28/35 · Decisor 18/20 · Evidência 13/20 · Balcão 8/10 · Rota 14/15</t>
        </is>
      </c>
      <c r="Q18" s="3" t="inlineStr">
        <is>
          <t>Mecânica rápida: muitos atendimentos curtos, bom volume de clientes.</t>
        </is>
      </c>
      <c r="R18" s="3" t="inlineStr">
        <is>
          <t>Média: diretório com nome, número e telefone</t>
        </is>
      </c>
      <c r="S18" s="3" t="inlineStr">
        <is>
          <t>https://www.enkontre.com.br/busca/goiania-go/restauracao-oficina-mecanica-lanternagem-e-pintura/setor/parque-amazonia</t>
        </is>
      </c>
      <c r="T18" s="3" t="inlineStr">
        <is>
          <t>≈ 1–2 min a pé (estimativa)</t>
        </is>
      </c>
      <c r="U18" s="3" t="inlineStr">
        <is>
          <t>≈ 50–150 m (estimativa; rota não verificada)</t>
        </is>
      </c>
      <c r="V18" s="3" t="inlineStr">
        <is>
          <t>6–12 min</t>
        </is>
      </c>
      <c r="W18" s="3" t="inlineStr">
        <is>
          <t>8h–11h30 ou 14h–17h</t>
        </is>
      </c>
      <c r="X18" s="3" t="inlineStr">
        <is>
          <t>14:00</t>
        </is>
      </c>
      <c r="Y18" s="3" t="inlineStr">
        <is>
          <t>Não visitado</t>
        </is>
      </c>
      <c r="Z18" s="3" t="inlineStr"/>
      <c r="AA18" s="3" t="inlineStr"/>
      <c r="AB18" s="3" t="inlineStr">
        <is>
          <t>Confirmar existência e falar com o responsável</t>
        </is>
      </c>
    </row>
    <row r="19">
      <c r="A19" s="3" t="inlineStr">
        <is>
          <t>Quarta-feira, 28/10/2026</t>
        </is>
      </c>
      <c r="B19" s="3" t="n">
        <v>18</v>
      </c>
      <c r="C19" s="3" t="inlineStr">
        <is>
          <t>Lilian Restaurante</t>
        </is>
      </c>
      <c r="D19" s="3" t="inlineStr">
        <is>
          <t>Restaurante (almoço)</t>
        </is>
      </c>
      <c r="E19" s="3" t="inlineStr">
        <is>
          <t>Av. José Rodrigues de Morais Neto, Qd. 219, Lt. 14</t>
        </is>
      </c>
      <c r="F19" s="3" t="inlineStr">
        <is>
          <t>Parque Amazônia</t>
        </is>
      </c>
      <c r="G19" s="3" t="inlineStr">
        <is>
          <t>Goiânia</t>
        </is>
      </c>
      <c r="H19" s="3" t="inlineStr">
        <is>
          <t>(62) 3280-2363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80</v>
      </c>
      <c r="P19" s="3" t="inlineStr">
        <is>
          <t>Encaixe 31/35 · Decisor 18/20 · Evidência 8/20 · Balcão 9/10 · Rota 14/15</t>
        </is>
      </c>
      <c r="Q19" s="3" t="inlineStr">
        <is>
          <t>Restaurante de almoço: visitar depois das 14h30.</t>
        </is>
      </c>
      <c r="R19" s="3" t="inlineStr">
        <is>
          <t>Fraca: 1 diretório</t>
        </is>
      </c>
      <c r="S19" s="3" t="inlineStr">
        <is>
          <t>https://www.guiatelefone.com/empresas/goiania-go/bairro/parque-amazonia/restaurantes/restaurante</t>
        </is>
      </c>
      <c r="T19" s="3" t="inlineStr">
        <is>
          <t>≈ 1–3 min a pé (estimativa)</t>
        </is>
      </c>
      <c r="U19" s="3" t="inlineStr">
        <is>
          <t>≈ 50–200 m (estimativa; rota não verificada)</t>
        </is>
      </c>
      <c r="V19" s="3" t="inlineStr">
        <is>
          <t>5–12 min (fora do pico)</t>
        </is>
      </c>
      <c r="W19" s="3" t="inlineStr">
        <is>
          <t>9h30–11h ou 14h30–16h30</t>
        </is>
      </c>
      <c r="X19" s="3" t="inlineStr">
        <is>
          <t>14:13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Quarta-feira, 28/10/2026</t>
        </is>
      </c>
      <c r="B20" s="3" t="n">
        <v>19</v>
      </c>
      <c r="C20" s="3" t="inlineStr">
        <is>
          <t>Go! Pet</t>
        </is>
      </c>
      <c r="D20" s="3" t="inlineStr">
        <is>
          <t>Pet shop / banho e tosa</t>
        </is>
      </c>
      <c r="E20" s="3" t="inlineStr">
        <is>
          <t>Rua Santarém, 670, Qd. 238, Lt. 24, Sala 01</t>
        </is>
      </c>
      <c r="F20" s="3" t="inlineStr">
        <is>
          <t>Parque Amazônia</t>
        </is>
      </c>
      <c r="G20" s="3" t="inlineStr">
        <is>
          <t>Goiânia</t>
        </is>
      </c>
      <c r="H20" s="3" t="inlineStr">
        <is>
          <t>não confirmado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85</v>
      </c>
      <c r="P20" s="3" t="inlineStr">
        <is>
          <t>Encaixe 31/35 · Decisor 18/20 · Evidência 13/20 · Balcão 9/10 · Rota 14/15</t>
        </is>
      </c>
      <c r="Q20" s="3" t="inlineStr">
        <is>
          <t>Banho e tosa: retorno quinzenal dos clientes.</t>
        </is>
      </c>
      <c r="R20" s="3" t="inlineStr">
        <is>
          <t>Média: 2 diretórios</t>
        </is>
      </c>
      <c r="S20" s="3" t="inlineStr">
        <is>
          <t>https://banhoetosapetpertodemim.com/e/go-pet-myytw/ | https://guiafacil.com/encontre/pet-shop/goiania/go/bairro/parque-amazonia</t>
        </is>
      </c>
      <c r="T20" s="3" t="inlineStr">
        <is>
          <t>≈ 4–12 min a pé (estimativa)</t>
        </is>
      </c>
      <c r="U20" s="3" t="inlineStr">
        <is>
          <t>≈ 300–900 m (estimativa; rota não verificada)</t>
        </is>
      </c>
      <c r="V20" s="3" t="inlineStr">
        <is>
          <t>6–12 min</t>
        </is>
      </c>
      <c r="W20" s="3" t="inlineStr">
        <is>
          <t>8h30–11h30 ou 14h–16h30</t>
        </is>
      </c>
      <c r="X20" s="3" t="inlineStr">
        <is>
          <t>14:33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Quarta-feira, 28/10/2026</t>
        </is>
      </c>
      <c r="B21" s="3" t="n">
        <v>20</v>
      </c>
      <c r="C21" s="3" t="inlineStr">
        <is>
          <t>Panificadora Pães e Frios</t>
        </is>
      </c>
      <c r="D21" s="3" t="inlineStr">
        <is>
          <t>Padaria</t>
        </is>
      </c>
      <c r="E21" s="3" t="inlineStr">
        <is>
          <t>Rua Santarém, 183, Qd. 242, Lt. 7</t>
        </is>
      </c>
      <c r="F21" s="3" t="inlineStr">
        <is>
          <t>Parque Amazônia</t>
        </is>
      </c>
      <c r="G21" s="3" t="inlineStr">
        <is>
          <t>Goiânia</t>
        </is>
      </c>
      <c r="H21" s="3" t="inlineStr">
        <is>
          <t>(62) 3259-3407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75</v>
      </c>
      <c r="P21" s="3" t="inlineStr">
        <is>
          <t>Encaixe 26/35 · Decisor 18/20 · Evidência 8/20 · Balcão 9/10 · Rota 14/15</t>
        </is>
      </c>
      <c r="Q21" s="3" t="inlineStr">
        <is>
          <t>Padaria: alto fluxo diário no caixa.</t>
        </is>
      </c>
      <c r="R21" s="3" t="inlineStr">
        <is>
          <t>Fraca: 1 diretório</t>
        </is>
      </c>
      <c r="S21" s="3" t="inlineStr">
        <is>
          <t>https://www.guiatelefone.com/empresas/goiania-go/bairro/parque-amazonia/lanches-e-salgados/padarias-e-confeitarias</t>
        </is>
      </c>
      <c r="T21" s="3" t="inlineStr">
        <is>
          <t>≈ 4–8 min a pé (estimativa)</t>
        </is>
      </c>
      <c r="U21" s="3" t="inlineStr">
        <is>
          <t>≈ 300–600 m (estimativa; rota não verificada)</t>
        </is>
      </c>
      <c r="V21" s="3" t="inlineStr">
        <is>
          <t>5–10 min</t>
        </is>
      </c>
      <c r="W21" s="3" t="inlineStr">
        <is>
          <t>9h30–11h ou 14h–16h</t>
        </is>
      </c>
      <c r="X21" s="3" t="inlineStr">
        <is>
          <t>14:51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Quarta-feira, 28/10/2026</t>
        </is>
      </c>
      <c r="B22" s="3" t="n">
        <v>21</v>
      </c>
      <c r="C22" s="3" t="inlineStr">
        <is>
          <t>Tiburon Restaurante</t>
        </is>
      </c>
      <c r="D22" s="3" t="inlineStr">
        <is>
          <t>Restaurante</t>
        </is>
      </c>
      <c r="E22" s="3" t="inlineStr">
        <is>
          <t>Av. Feira de Santana, Qd. 248, Lt. 26</t>
        </is>
      </c>
      <c r="F22" s="3" t="inlineStr">
        <is>
          <t>Parque Amazônia</t>
        </is>
      </c>
      <c r="G22" s="3" t="inlineStr">
        <is>
          <t>Goiânia</t>
        </is>
      </c>
      <c r="H22" s="3" t="inlineStr">
        <is>
          <t>(62) 3259-2154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não confirmado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80</v>
      </c>
      <c r="P22" s="3" t="inlineStr">
        <is>
          <t>Encaixe 31/35 · Decisor 18/20 · Evidência 8/20 · Balcão 9/10 · Rota 14/15</t>
        </is>
      </c>
      <c r="Q22" s="3" t="inlineStr">
        <is>
          <t>Restaurante de bairro; visitar fora do pico.</t>
        </is>
      </c>
      <c r="R22" s="3" t="inlineStr">
        <is>
          <t>Fraca: 1 diretório</t>
        </is>
      </c>
      <c r="S22" s="3" t="inlineStr">
        <is>
          <t>https://www.guiatelefone.com/empresas/goiania-go/bairro/parque-amazonia/restaurantes/restaurante</t>
        </is>
      </c>
      <c r="T22" s="3" t="inlineStr">
        <is>
          <t>≈ 3–7 min a pé (estimativa)</t>
        </is>
      </c>
      <c r="U22" s="3" t="inlineStr">
        <is>
          <t>≈ 200–500 m (estimativa; rota não verificada)</t>
        </is>
      </c>
      <c r="V22" s="3" t="inlineStr">
        <is>
          <t>5–12 min (fora do pico)</t>
        </is>
      </c>
      <c r="W22" s="3" t="inlineStr">
        <is>
          <t>9h30–11h ou 14h30–16h30</t>
        </is>
      </c>
      <c r="X22" s="3" t="inlineStr">
        <is>
          <t>15:08</t>
        </is>
      </c>
      <c r="Y22" s="3" t="inlineStr">
        <is>
          <t>Não visitado</t>
        </is>
      </c>
      <c r="Z22" s="3" t="inlineStr"/>
      <c r="AA22" s="3" t="inlineStr"/>
      <c r="AB22" s="3" t="inlineStr">
        <is>
          <t>Confirmar existência e falar com o responsável</t>
        </is>
      </c>
    </row>
    <row r="23">
      <c r="A23" s="3" t="inlineStr">
        <is>
          <t>Quarta-feira, 28/10/2026</t>
        </is>
      </c>
      <c r="B23" s="3" t="n">
        <v>22</v>
      </c>
      <c r="C23" s="3" t="inlineStr">
        <is>
          <t>Restaurante Lourenço</t>
        </is>
      </c>
      <c r="D23" s="3" t="inlineStr">
        <is>
          <t>Restaurante</t>
        </is>
      </c>
      <c r="E23" s="3" t="inlineStr">
        <is>
          <t>Av. T-15, 2152, Qd. 250, Lt. 21</t>
        </is>
      </c>
      <c r="F23" s="3" t="inlineStr">
        <is>
          <t>Parque Amazônia</t>
        </is>
      </c>
      <c r="G23" s="3" t="inlineStr">
        <is>
          <t>Goiânia</t>
        </is>
      </c>
      <c r="H23" s="3" t="inlineStr">
        <is>
          <t>(62) 3283-4194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80</v>
      </c>
      <c r="P23" s="3" t="inlineStr">
        <is>
          <t>Encaixe 31/35 · Decisor 18/20 · Evidência 8/20 · Balcão 9/10 · Rota 14/15</t>
        </is>
      </c>
      <c r="Q23" s="3" t="inlineStr">
        <is>
          <t>Restaurante de bairro; visitar fora do pico.</t>
        </is>
      </c>
      <c r="R23" s="3" t="inlineStr">
        <is>
          <t>Fraca: 1 diretório</t>
        </is>
      </c>
      <c r="S23" s="3" t="inlineStr">
        <is>
          <t>https://www.guiatelefone.com/empresas/goiania-go/bairro/parque-amazonia/restaurantes/restaurante</t>
        </is>
      </c>
      <c r="T23" s="3" t="inlineStr">
        <is>
          <t>≈ 3–7 min a pé (estimativa)</t>
        </is>
      </c>
      <c r="U23" s="3" t="inlineStr">
        <is>
          <t>≈ 200–500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15:25</t>
        </is>
      </c>
      <c r="Y23" s="3" t="inlineStr">
        <is>
          <t>Não visitado</t>
        </is>
      </c>
      <c r="Z23" s="3" t="inlineStr"/>
      <c r="AA23" s="3" t="inlineStr"/>
      <c r="AB23" s="3" t="inlineStr">
        <is>
          <t>Confirmar existência e falar com o responsável</t>
        </is>
      </c>
    </row>
    <row r="24">
      <c r="A24" s="3" t="inlineStr">
        <is>
          <t>Quarta-feira, 28/10/2026</t>
        </is>
      </c>
      <c r="B24" s="3" t="n">
        <v>23</v>
      </c>
      <c r="C24" s="3" t="inlineStr">
        <is>
          <t>Vicentt Barbearia</t>
        </is>
      </c>
      <c r="D24" s="3" t="inlineStr">
        <is>
          <t>Barbearia</t>
        </is>
      </c>
      <c r="E24" s="3" t="inlineStr">
        <is>
          <t>Av. T-15, 2260, Qd. 250, Lt. 29, Loja 02</t>
        </is>
      </c>
      <c r="F24" s="3" t="inlineStr">
        <is>
          <t>Parque Amazônia</t>
        </is>
      </c>
      <c r="G24" s="3" t="inlineStr">
        <is>
          <t>Goiânia</t>
        </is>
      </c>
      <c r="H24" s="3" t="inlineStr">
        <is>
          <t>Instagram @vicenttbarbearia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seg a sex 8h-20h; sáb 8h-19h (Instagram)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93</v>
      </c>
      <c r="P24" s="3" t="inlineStr">
        <is>
          <t>Encaixe 34/35 · Decisor 18/20 · Evidência 18/20 · Balcão 9/10 · Rota 14/15</t>
        </is>
      </c>
      <c r="Q24" s="3" t="inlineStr">
        <is>
          <t>Barbearia ativa no digital: entende valor de avaliações.</t>
        </is>
      </c>
      <c r="R24" s="3" t="inlineStr">
        <is>
          <t>Forte: Instagram + agendamento Trinks</t>
        </is>
      </c>
      <c r="S24" s="3" t="inlineStr">
        <is>
          <t>https://www.instagram.com/vicenttbarbearia/ | https://www.trinks.com/vicentt-barbearia-1</t>
        </is>
      </c>
      <c r="T24" s="3" t="inlineStr">
        <is>
          <t>≈ 1–2 min a pé (estimativa)</t>
        </is>
      </c>
      <c r="U24" s="3" t="inlineStr">
        <is>
          <t>≈ 50–150 m (estimativa; rota não verificada)</t>
        </is>
      </c>
      <c r="V24" s="3" t="inlineStr">
        <is>
          <t>6–15 min (pode haver cliente na cadeira)</t>
        </is>
      </c>
      <c r="W24" s="3" t="inlineStr">
        <is>
          <t>9h–11h30 ou 14h–16h30</t>
        </is>
      </c>
      <c r="X24" s="3" t="inlineStr">
        <is>
          <t>15:38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Quarta-feira, 28/10/2026</t>
        </is>
      </c>
      <c r="B25" s="3" t="n">
        <v>24</v>
      </c>
      <c r="C25" s="3" t="inlineStr">
        <is>
          <t>NAVI Functional Fitness (CrossFit)</t>
        </is>
      </c>
      <c r="D25" s="3" t="inlineStr">
        <is>
          <t>Box de CrossFit</t>
        </is>
      </c>
      <c r="E25" s="3" t="inlineStr">
        <is>
          <t>Rua dos Bombeiros, 119, Qd. 250, Lt. 07</t>
        </is>
      </c>
      <c r="F25" s="3" t="inlineStr">
        <is>
          <t>Parque Amazônia</t>
        </is>
      </c>
      <c r="G25" s="3" t="inlineStr">
        <is>
          <t>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84</v>
      </c>
      <c r="P25" s="3" t="inlineStr">
        <is>
          <t>Encaixe 26/35 · Decisor 18/20 · Evidência 18/20 · Balcão 8/10 · Rota 14/15</t>
        </is>
      </c>
      <c r="Q25" s="3" t="inlineStr">
        <is>
          <t>Box com comunidade fiel; recepção/balcão.</t>
        </is>
      </c>
      <c r="R25" s="3" t="inlineStr">
        <is>
          <t>Forte: site oficial</t>
        </is>
      </c>
      <c r="S25" s="3" t="inlineStr">
        <is>
          <t>https://navi.fitness/</t>
        </is>
      </c>
      <c r="T25" s="3" t="inlineStr">
        <is>
          <t>≈ 1–3 min a pé (estimativa)</t>
        </is>
      </c>
      <c r="U25" s="3" t="inlineStr">
        <is>
          <t>≈ 50–250 m (estimativa; rota não verificada)</t>
        </is>
      </c>
      <c r="V25" s="3" t="inlineStr">
        <is>
          <t>6–12 min</t>
        </is>
      </c>
      <c r="W25" s="3" t="inlineStr">
        <is>
          <t>9h–11h30 ou 14h–16h30</t>
        </is>
      </c>
      <c r="X25" s="3" t="inlineStr">
        <is>
          <t>15:52</t>
        </is>
      </c>
      <c r="Y25" s="3" t="inlineStr">
        <is>
          <t>Não visitado</t>
        </is>
      </c>
      <c r="Z25" s="3" t="inlineStr"/>
      <c r="AA25" s="3" t="inlineStr">
        <is>
          <t>Depois desta visita: Pausa: água/descanso (15 min)</t>
        </is>
      </c>
      <c r="AB25" s="3" t="inlineStr">
        <is>
          <t>Confirmar existência e falar com o responsável</t>
        </is>
      </c>
    </row>
    <row r="26">
      <c r="A26" s="3" t="inlineStr">
        <is>
          <t>Quarta-feira, 28/10/2026</t>
        </is>
      </c>
      <c r="B26" s="3" t="n">
        <v>25</v>
      </c>
      <c r="C26" s="3" t="inlineStr">
        <is>
          <t>Panobianco Academia – Parque Amazônia</t>
        </is>
      </c>
      <c r="D26" s="3" t="inlineStr">
        <is>
          <t>Academia (franquia)</t>
        </is>
      </c>
      <c r="E26" s="3" t="inlineStr">
        <is>
          <t>Av. Feira de Santana, 1550</t>
        </is>
      </c>
      <c r="F26" s="3" t="inlineStr">
        <is>
          <t>Parque Amazônia</t>
        </is>
      </c>
      <c r="G26" s="3" t="inlineStr">
        <is>
          <t>Goiânia</t>
        </is>
      </c>
      <c r="H26" s="3" t="inlineStr">
        <is>
          <t>ver site oficial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seg a sex 5h-23h; sáb e dom 8h-14h (site)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75</v>
      </c>
      <c r="P26" s="3" t="inlineStr">
        <is>
          <t>Encaixe 26/35 · Decisor 12/20 · Evidência 18/20 · Balcão 8/10 · Rota 11/15</t>
        </is>
      </c>
      <c r="Q26" s="3" t="inlineStr">
        <is>
          <t>Franquia (decisão do franqueado local); só vale porque está no caminho.</t>
        </is>
      </c>
      <c r="R26" s="3" t="inlineStr">
        <is>
          <t>Forte: site oficial da unidade</t>
        </is>
      </c>
      <c r="S26" s="3" t="inlineStr">
        <is>
          <t>https://www.panobiancoparqueamazonia.com.br/</t>
        </is>
      </c>
      <c r="T26" s="3" t="inlineStr">
        <is>
          <t>≈ 7–16 min a pé (estimativa)</t>
        </is>
      </c>
      <c r="U26" s="3" t="inlineStr">
        <is>
          <t>≈ 500–1200 m (estimativa; rota não verificada)</t>
        </is>
      </c>
      <c r="V26" s="3" t="inlineStr">
        <is>
          <t>6–12 min</t>
        </is>
      </c>
      <c r="W26" s="3" t="inlineStr">
        <is>
          <t>9h–11h30 ou 14h–16h30</t>
        </is>
      </c>
      <c r="X26" s="3" t="inlineStr">
        <is>
          <t>16:30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Quarta-feira, 28/10/2026</t>
        </is>
      </c>
      <c r="B27" s="3" t="n">
        <v>26</v>
      </c>
      <c r="C27" s="3" t="inlineStr">
        <is>
          <t>Odonto Amazonas</t>
        </is>
      </c>
      <c r="D27" s="3" t="inlineStr">
        <is>
          <t>Clínica odontológica</t>
        </is>
      </c>
      <c r="E27" s="3" t="inlineStr">
        <is>
          <t>Av. Feira de Santana, 1369, Qd. 61, Lt. 07, Sala 04</t>
        </is>
      </c>
      <c r="F27" s="3" t="inlineStr">
        <is>
          <t>Parque Amazônia</t>
        </is>
      </c>
      <c r="G27" s="3" t="inlineStr">
        <is>
          <t>Goiânia</t>
        </is>
      </c>
      <c r="H27" s="3" t="inlineStr">
        <is>
          <t>não confirmado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4,7 no dentmap (origem da nota não confirmada)</t>
        </is>
      </c>
      <c r="L27" s="3" t="inlineStr">
        <is>
          <t>não confirmado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76</v>
      </c>
      <c r="P27" s="3" t="inlineStr">
        <is>
          <t>Encaixe 26/35 · Decisor 18/20 · Evidência 13/20 · Balcão 8/10 · Rota 11/15</t>
        </is>
      </c>
      <c r="Q27" s="3" t="inlineStr">
        <is>
          <t>Já tem boa nota: placa ajuda a manter volume de avaliações.</t>
        </is>
      </c>
      <c r="R27" s="3" t="inlineStr">
        <is>
          <t>Média: 2 diretórios</t>
        </is>
      </c>
      <c r="S27" s="3" t="inlineStr">
        <is>
          <t>https://dentmap.com.br/dentistas/goiania/odonto-amazonas-8437a1a3 | https://www.tudoaquisaude.com.br/goiania-go/parque-amazonia/medicos-e-clinicas</t>
        </is>
      </c>
      <c r="T27" s="3" t="inlineStr">
        <is>
          <t>≈ 2–4 min a pé (estimativa)</t>
        </is>
      </c>
      <c r="U27" s="3" t="inlineStr">
        <is>
          <t>≈ 150–300 m (estimativa; rota não verificada)</t>
        </is>
      </c>
      <c r="V27" s="3" t="inlineStr">
        <is>
          <t>4–10 min (recepção; peça o responsável)</t>
        </is>
      </c>
      <c r="W27" s="3" t="inlineStr">
        <is>
          <t>8h30–11h30 ou 14h–17h</t>
        </is>
      </c>
      <c r="X27" s="3" t="inlineStr">
        <is>
          <t>16:45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Quarta-feira, 28/10/2026</t>
        </is>
      </c>
      <c r="B28" s="3" t="n">
        <v>27</v>
      </c>
      <c r="C28" s="3" t="inlineStr">
        <is>
          <t>Carpe Diem Studio Pilates e CrossFit</t>
        </is>
      </c>
      <c r="D28" s="3" t="inlineStr">
        <is>
          <t>Pilates / CrossFit</t>
        </is>
      </c>
      <c r="E28" s="3" t="inlineStr">
        <is>
          <t>Rua Caapi, 487, Qd. 58, Lt. 10</t>
        </is>
      </c>
      <c r="F28" s="3" t="inlineStr">
        <is>
          <t>Parque Amazônia</t>
        </is>
      </c>
      <c r="G28" s="3" t="inlineStr">
        <is>
          <t>Goiânia</t>
        </is>
      </c>
      <c r="H28" s="3" t="inlineStr">
        <is>
          <t>(62) 3565-0147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não confirmado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79</v>
      </c>
      <c r="P28" s="3" t="inlineStr">
        <is>
          <t>Encaixe 26/35 · Decisor 18/20 · Evidência 13/20 · Balcão 8/10 · Rota 14/15</t>
        </is>
      </c>
      <c r="Q28" s="3" t="inlineStr">
        <is>
          <t>Estúdio com recepção e alunos fixos.</t>
        </is>
      </c>
      <c r="R28" s="3" t="inlineStr">
        <is>
          <t>Média: diretório com site e telefone (endereço antigo diverge)</t>
        </is>
      </c>
      <c r="S28" s="3" t="inlineStr">
        <is>
          <t>https://www.benditoguia.com.br/empresa/carpe-diem-studio-pilates-e-crossfit-parque-amazonia-goiania-go</t>
        </is>
      </c>
      <c r="T28" s="3" t="inlineStr">
        <is>
          <t>≈ 3–8 min a pé (estimativa)</t>
        </is>
      </c>
      <c r="U28" s="3" t="inlineStr">
        <is>
          <t>≈ 200–600 m (estimativa; rota não verificada)</t>
        </is>
      </c>
      <c r="V28" s="3" t="inlineStr">
        <is>
          <t>6–12 min</t>
        </is>
      </c>
      <c r="W28" s="3" t="inlineStr">
        <is>
          <t>9h–11h30 ou 14h–16h30</t>
        </is>
      </c>
      <c r="X28" s="3" t="inlineStr">
        <is>
          <t>17:03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Quarta-feira, 28/10/2026</t>
        </is>
      </c>
      <c r="B29" s="3" t="n">
        <v>28</v>
      </c>
      <c r="C29" s="3" t="inlineStr">
        <is>
          <t>Panificadora Buriti</t>
        </is>
      </c>
      <c r="D29" s="3" t="inlineStr">
        <is>
          <t>Padaria</t>
        </is>
      </c>
      <c r="E29" s="3" t="inlineStr">
        <is>
          <t>Av. José Leandro da Cruz, 2093, Qd. 50, Lt. 11, Sala 1</t>
        </is>
      </c>
      <c r="F29" s="3" t="inlineStr">
        <is>
          <t>Parque Amazônia</t>
        </is>
      </c>
      <c r="G29" s="3" t="inlineStr">
        <is>
          <t>Goiânia</t>
        </is>
      </c>
      <c r="H29" s="3" t="inlineStr">
        <is>
          <t>(62) 3548-5943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75</v>
      </c>
      <c r="P29" s="3" t="inlineStr">
        <is>
          <t>Encaixe 26/35 · Decisor 18/20 · Evidência 8/20 · Balcão 9/10 · Rota 14/15</t>
        </is>
      </c>
      <c r="Q29" s="3" t="inlineStr">
        <is>
          <t>Padaria com fluxo alto; caixa como ponto da placa.</t>
        </is>
      </c>
      <c r="R29" s="3" t="inlineStr">
        <is>
          <t>Fraca: 1 diretório</t>
        </is>
      </c>
      <c r="S29" s="3" t="inlineStr">
        <is>
          <t>https://www.guiatelefone.com/empresas/goiania-go/bairro/parque-amazonia/lanches-e-salgados/padarias-e-confeitarias</t>
        </is>
      </c>
      <c r="T29" s="3" t="inlineStr">
        <is>
          <t>≈ 4–11 min a pé (estimativa)</t>
        </is>
      </c>
      <c r="U29" s="3" t="inlineStr">
        <is>
          <t>≈ 300–800 m (estimativa; rota não verificada)</t>
        </is>
      </c>
      <c r="V29" s="3" t="inlineStr">
        <is>
          <t>5–10 min</t>
        </is>
      </c>
      <c r="W29" s="3" t="inlineStr">
        <is>
          <t>9h30–11h ou 14h–16h</t>
        </is>
      </c>
      <c r="X29" s="3" t="inlineStr">
        <is>
          <t>17:22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  <row r="30">
      <c r="A30" s="3" t="inlineStr">
        <is>
          <t>Quarta-feira, 28/10/2026</t>
        </is>
      </c>
      <c r="B30" s="3" t="n">
        <v>29</v>
      </c>
      <c r="C30" s="3" t="inlineStr">
        <is>
          <t>Jantinhas Grill</t>
        </is>
      </c>
      <c r="D30" s="3" t="inlineStr">
        <is>
          <t>Jantinha / espetinho</t>
        </is>
      </c>
      <c r="E30" s="3" t="inlineStr">
        <is>
          <t>Praça da Feira (Praça Sen. José Rodrigues de Morais)</t>
        </is>
      </c>
      <c r="F30" s="3" t="inlineStr">
        <is>
          <t>Parque Amazônia</t>
        </is>
      </c>
      <c r="G30" s="3" t="inlineStr">
        <is>
          <t>Goiânia</t>
        </is>
      </c>
      <c r="H30" s="3" t="inlineStr">
        <is>
          <t>Instagram @jantinhasgrill (fontes divergem no telefone)</t>
        </is>
      </c>
      <c r="I30" s="3" t="inlineStr">
        <is>
          <t>Não verificada (Google Maps bloqueado no ambiente)</t>
        </is>
      </c>
      <c r="J30" s="3" t="inlineStr">
        <is>
          <t>Não verificada</t>
        </is>
      </c>
      <c r="K30" s="3" t="inlineStr">
        <is>
          <t>—</t>
        </is>
      </c>
      <c r="L30" s="3" t="inlineStr">
        <is>
          <t>dom a sex 16h-00h; fecha sábado (Mais Goiás, out/2026)</t>
        </is>
      </c>
      <c r="M30" s="5" t="inlineStr">
        <is>
          <t>Abrir no Maps</t>
        </is>
      </c>
      <c r="N30" s="5" t="inlineStr">
        <is>
          <t>Rota a pé</t>
        </is>
      </c>
      <c r="O30" s="3" t="n">
        <v>90</v>
      </c>
      <c r="P30" s="3" t="inlineStr">
        <is>
          <t>Encaixe 31/35 · Decisor 18/20 · Evidência 18/20 · Balcão 9/10 · Rota 14/15</t>
        </is>
      </c>
      <c r="Q30" s="3" t="inlineStr">
        <is>
          <t>Tradicional (desde 1998) e em evidência agora; mesas na calçada = muitos clientes no celular.</t>
        </is>
      </c>
      <c r="R30" s="3" t="inlineStr">
        <is>
          <t>Forte: matéria de 22/10/2026 + TripAdvisor + Curta Mais</t>
        </is>
      </c>
      <c r="S30" s="3" t="inlineStr">
        <is>
          <t>https://www.maisgoias.com.br/divirta-se/gastronomia/jantinha-mobiliza-mais-de-4-mil-comentarios-e-rende-nova-lista-com-12-lugares/ | https://www.tripadvisor.com/Restaurant_Review-g303324-d5336200-Reviews-Jantinhas_Grill-Goiania_State_of_Goias.html | https://curtamais.com.br/goiania/omelhordacidade/jantinhas-grill/</t>
        </is>
      </c>
      <c r="T30" s="3" t="inlineStr">
        <is>
          <t>≈ 7–16 min a pé (estimativa)</t>
        </is>
      </c>
      <c r="U30" s="3" t="inlineStr">
        <is>
          <t>≈ 500–1200 m (estimativa; rota não verificada)</t>
        </is>
      </c>
      <c r="V30" s="3" t="inlineStr">
        <is>
          <t>5–12 min (na abertura)</t>
        </is>
      </c>
      <c r="W30" s="3" t="inlineStr">
        <is>
          <t>16h30–18h30 (abertura)</t>
        </is>
      </c>
      <c r="X30" s="3" t="inlineStr">
        <is>
          <t>17:45</t>
        </is>
      </c>
      <c r="Y30" s="3" t="inlineStr">
        <is>
          <t>Não visitado</t>
        </is>
      </c>
      <c r="Z30" s="3" t="inlineStr"/>
      <c r="AA30" s="3" t="inlineStr"/>
      <c r="AB30" s="3" t="inlineStr">
        <is>
          <t>Confirmar existência e falar com o responsável</t>
        </is>
      </c>
    </row>
    <row r="31">
      <c r="A31" s="3" t="inlineStr">
        <is>
          <t>Quarta-feira, 28/10/2026</t>
        </is>
      </c>
      <c r="B31" s="3" t="n">
        <v>30</v>
      </c>
      <c r="C31" s="3" t="inlineStr">
        <is>
          <t>Sanduicheria Underground</t>
        </is>
      </c>
      <c r="D31" s="3" t="inlineStr">
        <is>
          <t>Sanduicheria</t>
        </is>
      </c>
      <c r="E31" s="3" t="inlineStr">
        <is>
          <t>Av. José Rodrigues de Morais Neto, 2040, Qd. 157, Lt. 01</t>
        </is>
      </c>
      <c r="F31" s="3" t="inlineStr">
        <is>
          <t>Parque Amazônia</t>
        </is>
      </c>
      <c r="G31" s="3" t="inlineStr">
        <is>
          <t>Goiânia</t>
        </is>
      </c>
      <c r="H31" s="3" t="inlineStr">
        <is>
          <t>não confirmado</t>
        </is>
      </c>
      <c r="I31" s="3" t="inlineStr">
        <is>
          <t>Não verificada (Google Maps bloqueado no ambiente)</t>
        </is>
      </c>
      <c r="J31" s="3" t="inlineStr">
        <is>
          <t>Não verificada</t>
        </is>
      </c>
      <c r="K31" s="3" t="inlineStr">
        <is>
          <t>—</t>
        </is>
      </c>
      <c r="L31" s="3" t="inlineStr">
        <is>
          <t>não confirmado</t>
        </is>
      </c>
      <c r="M31" s="5" t="inlineStr">
        <is>
          <t>Abrir no Maps</t>
        </is>
      </c>
      <c r="N31" s="5" t="inlineStr">
        <is>
          <t>Rota a pé</t>
        </is>
      </c>
      <c r="O31" s="3" t="n">
        <v>80</v>
      </c>
      <c r="P31" s="3" t="inlineStr">
        <is>
          <t>Encaixe 31/35 · Decisor 18/20 · Evidência 8/20 · Balcão 9/10 · Rota 14/15</t>
        </is>
      </c>
      <c r="Q31" s="3" t="inlineStr">
        <is>
          <t>Lanchonete de fim de tarde: última parada, no caminho de volta.</t>
        </is>
      </c>
      <c r="R31" s="3" t="inlineStr">
        <is>
          <t>Fraca: 1 matéria (sem data)</t>
        </is>
      </c>
      <c r="S31" s="3" t="inlineStr">
        <is>
          <t>https://www.maisgoias.com.br/divirta-se/hamburguerias-em-goiania-pra-quem-nao-dispensa-um-lanche-caprichado/</t>
        </is>
      </c>
      <c r="T31" s="3" t="inlineStr">
        <is>
          <t>≈ 7–16 min a pé (estimativa)</t>
        </is>
      </c>
      <c r="U31" s="3" t="inlineStr">
        <is>
          <t>≈ 500–1200 m (estimativa; rota não verificada)</t>
        </is>
      </c>
      <c r="V31" s="3" t="inlineStr">
        <is>
          <t>5–12 min (na abertura)</t>
        </is>
      </c>
      <c r="W31" s="3" t="inlineStr">
        <is>
          <t>16h30–18h30 (abertura)</t>
        </is>
      </c>
      <c r="X31" s="3" t="inlineStr">
        <is>
          <t>18:09</t>
        </is>
      </c>
      <c r="Y31" s="3" t="inlineStr">
        <is>
          <t>Não visitado</t>
        </is>
      </c>
      <c r="Z31" s="3" t="inlineStr"/>
      <c r="AA31" s="3" t="inlineStr"/>
      <c r="AB31" s="3" t="inlineStr">
        <is>
          <t>Confirmar existência e falar com o responsável</t>
        </is>
      </c>
    </row>
  </sheetData>
  <dataValidations count="1">
    <dataValidation sqref="Y2:Y31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30" customWidth="1" min="3" max="3"/>
    <col width="22" customWidth="1" min="4" max="4"/>
    <col width="38" customWidth="1" min="5" max="5"/>
    <col width="16" customWidth="1" min="6" max="6"/>
    <col width="14" customWidth="1" min="7" max="7"/>
    <col width="22" customWidth="1" min="8" max="8"/>
    <col width="16" customWidth="1" min="9" max="9"/>
    <col width="12" customWidth="1" min="10" max="10"/>
    <col width="18" customWidth="1" min="11" max="11"/>
    <col width="26" customWidth="1" min="12" max="12"/>
    <col width="14" customWidth="1" min="13" max="13"/>
    <col width="12" customWidth="1" min="14" max="14"/>
    <col width="11" customWidth="1" min="15" max="15"/>
    <col width="30" customWidth="1" min="16" max="16"/>
    <col width="40" customWidth="1" min="17" max="17"/>
    <col width="30" customWidth="1" min="18" max="18"/>
    <col width="40" customWidth="1" min="19" max="19"/>
    <col width="18" customWidth="1" min="20" max="20"/>
    <col width="22" customWidth="1" min="21" max="21"/>
    <col width="20" customWidth="1" min="22" max="22"/>
    <col width="22" customWidth="1" min="23" max="23"/>
    <col width="12" customWidth="1" min="24" max="24"/>
    <col width="22" customWidth="1" min="25" max="25"/>
    <col width="18" customWidth="1" min="26" max="26"/>
    <col width="30" customWidth="1" min="27" max="27"/>
    <col width="26" customWidth="1" min="28" max="28"/>
  </cols>
  <sheetData>
    <row r="1">
      <c r="A1" s="2" t="inlineStr">
        <is>
          <t>Dia</t>
        </is>
      </c>
      <c r="B1" s="2" t="inlineStr">
        <is>
          <t>Ordem da visita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Endereço</t>
        </is>
      </c>
      <c r="F1" s="2" t="inlineStr">
        <is>
          <t>Bairro</t>
        </is>
      </c>
      <c r="G1" s="2" t="inlineStr">
        <is>
          <t>Cidade</t>
        </is>
      </c>
      <c r="H1" s="2" t="inlineStr">
        <is>
          <t>Telefone público</t>
        </is>
      </c>
      <c r="I1" s="2" t="inlineStr">
        <is>
          <t>Nota Google</t>
        </is>
      </c>
      <c r="J1" s="2" t="inlineStr">
        <is>
          <t>Quantidade de avaliações</t>
        </is>
      </c>
      <c r="K1" s="2" t="inlineStr">
        <is>
          <t>Nota em outra fonte (não Google)</t>
        </is>
      </c>
      <c r="L1" s="2" t="inlineStr">
        <is>
          <t>Horário</t>
        </is>
      </c>
      <c r="M1" s="2" t="inlineStr">
        <is>
          <t>Link Google Maps</t>
        </is>
      </c>
      <c r="N1" s="2" t="inlineStr">
        <is>
          <t>Rota a pé desde a anterior (Google Maps)</t>
        </is>
      </c>
      <c r="O1" s="2" t="inlineStr">
        <is>
          <t>Prioridade comercial (0-100)</t>
        </is>
      </c>
      <c r="P1" s="2" t="inlineStr">
        <is>
          <t>Composição da nota</t>
        </is>
      </c>
      <c r="Q1" s="2" t="inlineStr">
        <is>
          <t>Justificativa</t>
        </is>
      </c>
      <c r="R1" s="2" t="inlineStr">
        <is>
          <t>Evidência de funcionamento</t>
        </is>
      </c>
      <c r="S1" s="2" t="inlineStr">
        <is>
          <t>Fontes</t>
        </is>
      </c>
      <c r="T1" s="2" t="inlineStr">
        <is>
          <t>Tempo a pé desde a visita anterior</t>
        </is>
      </c>
      <c r="U1" s="2" t="inlineStr">
        <is>
          <t>Distância desde a visita anterior</t>
        </is>
      </c>
      <c r="V1" s="2" t="inlineStr">
        <is>
          <t>Tempo estimado da abordagem</t>
        </is>
      </c>
      <c r="W1" s="2" t="inlineStr">
        <is>
          <t>Janela recomendada (sugestão por segmento)</t>
        </is>
      </c>
      <c r="X1" s="2" t="inlineStr">
        <is>
          <t>Chegada prevista (cenário realista)</t>
        </is>
      </c>
      <c r="Y1" s="2" t="inlineStr">
        <is>
          <t>Status da visita</t>
        </is>
      </c>
      <c r="Z1" s="2" t="inlineStr">
        <is>
          <t>Nome do responsável</t>
        </is>
      </c>
      <c r="AA1" s="2" t="inlineStr">
        <is>
          <t>Observações</t>
        </is>
      </c>
      <c r="AB1" s="2" t="inlineStr">
        <is>
          <t>Próxima ação</t>
        </is>
      </c>
    </row>
    <row r="2">
      <c r="A2" s="3" t="inlineStr">
        <is>
          <t>Quinta-feira, 29/10/2026</t>
        </is>
      </c>
      <c r="B2" s="3" t="n">
        <v>1</v>
      </c>
      <c r="C2" s="3" t="inlineStr">
        <is>
          <t>Terra dos Animais</t>
        </is>
      </c>
      <c r="D2" s="3" t="inlineStr">
        <is>
          <t>Pet shop</t>
        </is>
      </c>
      <c r="E2" s="3" t="inlineStr">
        <is>
          <t>Av. da Igualdade, 100</t>
        </is>
      </c>
      <c r="F2" s="3" t="inlineStr">
        <is>
          <t>Setor Garavelo</t>
        </is>
      </c>
      <c r="G2" s="3" t="inlineStr">
        <is>
          <t>Aparecida de Goiânia</t>
        </is>
      </c>
      <c r="H2" s="3" t="inlineStr">
        <is>
          <t>(62) 3288-2964</t>
        </is>
      </c>
      <c r="I2" s="3" t="inlineStr">
        <is>
          <t>Não verificada (Google Maps bloqueado no ambiente)</t>
        </is>
      </c>
      <c r="J2" s="3" t="inlineStr">
        <is>
          <t>Não verificada</t>
        </is>
      </c>
      <c r="K2" s="3" t="inlineStr">
        <is>
          <t>—</t>
        </is>
      </c>
      <c r="L2" s="3" t="inlineStr">
        <is>
          <t>não confirmado</t>
        </is>
      </c>
      <c r="M2" s="5" t="inlineStr">
        <is>
          <t>Abrir no Maps</t>
        </is>
      </c>
      <c r="N2" s="5" t="inlineStr">
        <is>
          <t>Rota a pé</t>
        </is>
      </c>
      <c r="O2" s="3" t="n">
        <v>85</v>
      </c>
      <c r="P2" s="3" t="inlineStr">
        <is>
          <t>Encaixe 31/35 · Decisor 18/20 · Evidência 13/20 · Balcão 9/10 · Rota 14/15</t>
        </is>
      </c>
      <c r="Q2" s="3" t="inlineStr">
        <is>
          <t>Pet shop na avenida comercial mais movimentada de Aparecida.</t>
        </is>
      </c>
      <c r="R2" s="3" t="inlineStr">
        <is>
          <t>Média: 2 diretórios</t>
        </is>
      </c>
      <c r="S2" s="3" t="inlineStr">
        <is>
          <t>https://www.guiatelefone.com/empresas/aparecida-de-goiania-go/servicos-para-animais/pet-shop | https://setor-garavelo-go.mybrazilinfo.com/pet-store/</t>
        </is>
      </c>
      <c r="T2" s="3" t="inlineStr">
        <is>
          <t>≈ 0–1 min a pé (estimativa)</t>
        </is>
      </c>
      <c r="U2" s="3" t="inlineStr">
        <is>
          <t>≈ 0–100 m (estimativa; rota não verificada)</t>
        </is>
      </c>
      <c r="V2" s="3" t="inlineStr">
        <is>
          <t>6–12 min</t>
        </is>
      </c>
      <c r="W2" s="3" t="inlineStr">
        <is>
          <t>8h30–11h30 ou 14h–16h30</t>
        </is>
      </c>
      <c r="X2" s="3" t="inlineStr">
        <is>
          <t>08:25</t>
        </is>
      </c>
      <c r="Y2" s="3" t="inlineStr">
        <is>
          <t>Não visitado</t>
        </is>
      </c>
      <c r="Z2" s="3" t="inlineStr"/>
      <c r="AA2" s="3" t="inlineStr"/>
      <c r="AB2" s="3" t="inlineStr">
        <is>
          <t>Confirmar existência e falar com o responsável</t>
        </is>
      </c>
    </row>
    <row r="3">
      <c r="A3" s="3" t="inlineStr">
        <is>
          <t>Quinta-feira, 29/10/2026</t>
        </is>
      </c>
      <c r="B3" s="3" t="n">
        <v>2</v>
      </c>
      <c r="C3" s="3" t="inlineStr">
        <is>
          <t>Criação Produtos Agropecuários</t>
        </is>
      </c>
      <c r="D3" s="3" t="inlineStr">
        <is>
          <t>Pet shop / agropecuária</t>
        </is>
      </c>
      <c r="E3" s="3" t="inlineStr">
        <is>
          <t>Av. da Igualdade, 100, Lt. 19, Sala 4</t>
        </is>
      </c>
      <c r="F3" s="3" t="inlineStr">
        <is>
          <t>Setor Garavelo</t>
        </is>
      </c>
      <c r="G3" s="3" t="inlineStr">
        <is>
          <t>Aparecida de Goiânia</t>
        </is>
      </c>
      <c r="H3" s="3" t="inlineStr">
        <is>
          <t>não confirmado</t>
        </is>
      </c>
      <c r="I3" s="3" t="inlineStr">
        <is>
          <t>Não verificada (Google Maps bloqueado no ambiente)</t>
        </is>
      </c>
      <c r="J3" s="3" t="inlineStr">
        <is>
          <t>Não verificada</t>
        </is>
      </c>
      <c r="K3" s="3" t="inlineStr">
        <is>
          <t>—</t>
        </is>
      </c>
      <c r="L3" s="3" t="inlineStr">
        <is>
          <t>não confirmado</t>
        </is>
      </c>
      <c r="M3" s="5" t="inlineStr">
        <is>
          <t>Abrir no Maps</t>
        </is>
      </c>
      <c r="N3" s="5" t="inlineStr">
        <is>
          <t>Rota a pé</t>
        </is>
      </c>
      <c r="O3" s="3" t="n">
        <v>80</v>
      </c>
      <c r="P3" s="3" t="inlineStr">
        <is>
          <t>Encaixe 31/35 · Decisor 18/20 · Evidência 8/20 · Balcão 9/10 · Rota 14/15</t>
        </is>
      </c>
      <c r="Q3" s="3" t="inlineStr">
        <is>
          <t>Balcão de atendimento; confirme se é a mesma empresa do anterior.</t>
        </is>
      </c>
      <c r="R3" s="3" t="inlineStr">
        <is>
          <t>Fraca: 1 diretório; mesmo número do anterior</t>
        </is>
      </c>
      <c r="S3" s="3" t="inlineStr">
        <is>
          <t>https://www.guiatelefone.com/empresas/aparecida-de-goiania-go/servicos-para-animais/pet-shop</t>
        </is>
      </c>
      <c r="T3" s="3" t="inlineStr">
        <is>
          <t>≈ 0–1 min a pé (estimativa)</t>
        </is>
      </c>
      <c r="U3" s="3" t="inlineStr">
        <is>
          <t>≈ 0–50 m (estimativa; rota não verificada)</t>
        </is>
      </c>
      <c r="V3" s="3" t="inlineStr">
        <is>
          <t>6–12 min</t>
        </is>
      </c>
      <c r="W3" s="3" t="inlineStr">
        <is>
          <t>8h30–11h30 ou 14h–16h30</t>
        </is>
      </c>
      <c r="X3" s="3" t="inlineStr">
        <is>
          <t>08:38</t>
        </is>
      </c>
      <c r="Y3" s="3" t="inlineStr">
        <is>
          <t>Não visitado</t>
        </is>
      </c>
      <c r="Z3" s="3" t="inlineStr"/>
      <c r="AA3" s="3" t="inlineStr"/>
      <c r="AB3" s="3" t="inlineStr">
        <is>
          <t>Confirmar existência e falar com o responsável</t>
        </is>
      </c>
    </row>
    <row r="4">
      <c r="A4" s="3" t="inlineStr">
        <is>
          <t>Quinta-feira, 29/10/2026</t>
        </is>
      </c>
      <c r="B4" s="3" t="n">
        <v>3</v>
      </c>
      <c r="C4" s="3" t="inlineStr">
        <is>
          <t>Sorridents Garavelo</t>
        </is>
      </c>
      <c r="D4" s="3" t="inlineStr">
        <is>
          <t>Clínica odontológica (franquia)</t>
        </is>
      </c>
      <c r="E4" s="3" t="inlineStr">
        <is>
          <t>Av. da Igualdade, 530</t>
        </is>
      </c>
      <c r="F4" s="3" t="inlineStr">
        <is>
          <t>Setor Garavelo</t>
        </is>
      </c>
      <c r="G4" s="3" t="inlineStr">
        <is>
          <t>Aparecida de Goiânia</t>
        </is>
      </c>
      <c r="H4" s="3" t="inlineStr">
        <is>
          <t>(62) 3094-7373</t>
        </is>
      </c>
      <c r="I4" s="3" t="inlineStr">
        <is>
          <t>Não verificada (Google Maps bloqueado no ambiente)</t>
        </is>
      </c>
      <c r="J4" s="3" t="inlineStr">
        <is>
          <t>Não verificada</t>
        </is>
      </c>
      <c r="K4" s="3" t="inlineStr">
        <is>
          <t>—</t>
        </is>
      </c>
      <c r="L4" s="3" t="inlineStr">
        <is>
          <t>não confirmado</t>
        </is>
      </c>
      <c r="M4" s="5" t="inlineStr">
        <is>
          <t>Abrir no Maps</t>
        </is>
      </c>
      <c r="N4" s="5" t="inlineStr">
        <is>
          <t>Rota a pé</t>
        </is>
      </c>
      <c r="O4" s="3" t="n">
        <v>68</v>
      </c>
      <c r="P4" s="3" t="inlineStr">
        <is>
          <t>Encaixe 26/35 · Decisor 7/20 · Evidência 13/20 · Balcão 8/10 · Rota 14/15</t>
        </is>
      </c>
      <c r="Q4" s="3" t="inlineStr">
        <is>
          <t>Franquia grande: só se o gerente/franqueado estiver; prioridade baixa.</t>
        </is>
      </c>
      <c r="R4" s="3" t="inlineStr">
        <is>
          <t>Média: agregador com telefone</t>
        </is>
      </c>
      <c r="S4" s="3" t="inlineStr">
        <is>
          <t>https://setor-garavelo-go.mybrazilinfo.com/sorridents-garavelo/</t>
        </is>
      </c>
      <c r="T4" s="3" t="inlineStr">
        <is>
          <t>≈ 5–7 min a pé (estimativa)</t>
        </is>
      </c>
      <c r="U4" s="3" t="inlineStr">
        <is>
          <t>≈ 350–500 m (estimativa; rota não verificada)</t>
        </is>
      </c>
      <c r="V4" s="3" t="inlineStr">
        <is>
          <t>4–10 min (recepção; peça o responsável)</t>
        </is>
      </c>
      <c r="W4" s="3" t="inlineStr">
        <is>
          <t>8h30–11h30 ou 14h–17h</t>
        </is>
      </c>
      <c r="X4" s="3" t="inlineStr">
        <is>
          <t>08:55</t>
        </is>
      </c>
      <c r="Y4" s="3" t="inlineStr">
        <is>
          <t>Não visitado</t>
        </is>
      </c>
      <c r="Z4" s="3" t="inlineStr"/>
      <c r="AA4" s="3" t="inlineStr"/>
      <c r="AB4" s="3" t="inlineStr">
        <is>
          <t>Confirmar existência e falar com o responsável</t>
        </is>
      </c>
    </row>
    <row r="5">
      <c r="A5" s="3" t="inlineStr">
        <is>
          <t>Quinta-feira, 29/10/2026</t>
        </is>
      </c>
      <c r="B5" s="3" t="n">
        <v>4</v>
      </c>
      <c r="C5" s="3" t="inlineStr">
        <is>
          <t>Drogaria Drogalú</t>
        </is>
      </c>
      <c r="D5" s="3" t="inlineStr">
        <is>
          <t>Farmácia</t>
        </is>
      </c>
      <c r="E5" s="3" t="inlineStr">
        <is>
          <t>Av. da Igualdade, 530</t>
        </is>
      </c>
      <c r="F5" s="3" t="inlineStr">
        <is>
          <t>Setor Garavelo</t>
        </is>
      </c>
      <c r="G5" s="3" t="inlineStr">
        <is>
          <t>Aparecida de Goiânia</t>
        </is>
      </c>
      <c r="H5" s="3" t="inlineStr">
        <is>
          <t>não confirmado</t>
        </is>
      </c>
      <c r="I5" s="3" t="inlineStr">
        <is>
          <t>Não verificada (Google Maps bloqueado no ambiente)</t>
        </is>
      </c>
      <c r="J5" s="3" t="inlineStr">
        <is>
          <t>Não verificada</t>
        </is>
      </c>
      <c r="K5" s="3" t="inlineStr">
        <is>
          <t>—</t>
        </is>
      </c>
      <c r="L5" s="3" t="inlineStr">
        <is>
          <t>não confirmado</t>
        </is>
      </c>
      <c r="M5" s="5" t="inlineStr">
        <is>
          <t>Abrir no Maps</t>
        </is>
      </c>
      <c r="N5" s="5" t="inlineStr">
        <is>
          <t>Rota a pé</t>
        </is>
      </c>
      <c r="O5" s="3" t="n">
        <v>70</v>
      </c>
      <c r="P5" s="3" t="inlineStr">
        <is>
          <t>Encaixe 18/35 · Decisor 18/20 · Evidência 13/20 · Balcão 7/10 · Rota 14/15</t>
        </is>
      </c>
      <c r="Q5" s="3" t="inlineStr">
        <is>
          <t>Farmácia de bairro com balcão; falar com o farmacêutico responsável/dono.</t>
        </is>
      </c>
      <c r="R5" s="3" t="inlineStr">
        <is>
          <t>Média: agregador</t>
        </is>
      </c>
      <c r="S5" s="3" t="inlineStr">
        <is>
          <t>https://setor-garavelo-go.mybrazilinfo.com/drogaria-drogalu/</t>
        </is>
      </c>
      <c r="T5" s="3" t="inlineStr">
        <is>
          <t>≈ 0–1 min a pé (estimativa)</t>
        </is>
      </c>
      <c r="U5" s="3" t="inlineStr">
        <is>
          <t>≈ 0–30 m (estimativa; rota não verificada)</t>
        </is>
      </c>
      <c r="V5" s="3" t="inlineStr">
        <is>
          <t>5–10 min</t>
        </is>
      </c>
      <c r="W5" s="3" t="inlineStr">
        <is>
          <t>9h–12h ou 14h–17h</t>
        </is>
      </c>
      <c r="X5" s="3" t="inlineStr">
        <is>
          <t>09:07</t>
        </is>
      </c>
      <c r="Y5" s="3" t="inlineStr">
        <is>
          <t>Não visitado</t>
        </is>
      </c>
      <c r="Z5" s="3" t="inlineStr"/>
      <c r="AA5" s="3" t="inlineStr"/>
      <c r="AB5" s="3" t="inlineStr">
        <is>
          <t>Confirmar existência e falar com o responsável</t>
        </is>
      </c>
    </row>
    <row r="6">
      <c r="A6" s="3" t="inlineStr">
        <is>
          <t>Quinta-feira, 29/10/2026</t>
        </is>
      </c>
      <c r="B6" s="3" t="n">
        <v>5</v>
      </c>
      <c r="C6" s="3" t="inlineStr">
        <is>
          <t>Açaí Express Garavelo</t>
        </is>
      </c>
      <c r="D6" s="3" t="inlineStr">
        <is>
          <t>Açaí / sorvetes</t>
        </is>
      </c>
      <c r="E6" s="3" t="inlineStr">
        <is>
          <t>Av. da Igualdade, 630 (em frente às Casas Bahia)</t>
        </is>
      </c>
      <c r="F6" s="3" t="inlineStr">
        <is>
          <t>Setor Garavelo</t>
        </is>
      </c>
      <c r="G6" s="3" t="inlineStr">
        <is>
          <t>Aparecida de Goiânia</t>
        </is>
      </c>
      <c r="H6" s="3" t="inlineStr">
        <is>
          <t>(62) 3085-3445</t>
        </is>
      </c>
      <c r="I6" s="3" t="inlineStr">
        <is>
          <t>Não verificada (Google Maps bloqueado no ambiente)</t>
        </is>
      </c>
      <c r="J6" s="3" t="inlineStr">
        <is>
          <t>Não verificada</t>
        </is>
      </c>
      <c r="K6" s="3" t="inlineStr">
        <is>
          <t>4,5 (1.159 avaliações em cardapio.menu; origem não confirmada)</t>
        </is>
      </c>
      <c r="L6" s="3" t="inlineStr">
        <is>
          <t>não confirmado</t>
        </is>
      </c>
      <c r="M6" s="5" t="inlineStr">
        <is>
          <t>Abrir no Maps</t>
        </is>
      </c>
      <c r="N6" s="5" t="inlineStr">
        <is>
          <t>Rota a pé</t>
        </is>
      </c>
      <c r="O6" s="3" t="n">
        <v>85</v>
      </c>
      <c r="P6" s="3" t="inlineStr">
        <is>
          <t>Encaixe 31/35 · Decisor 18/20 · Evidência 13/20 · Balcão 9/10 · Rota 14/15</t>
        </is>
      </c>
      <c r="Q6" s="3" t="inlineStr">
        <is>
          <t>Alto giro e já tem muitas avaliações: placa mantém o ritmo.</t>
        </is>
      </c>
      <c r="R6" s="3" t="inlineStr">
        <is>
          <t>Média: TripAdvisor + cardápio online</t>
        </is>
      </c>
      <c r="S6" s="3" t="inlineStr">
        <is>
          <t>https://www.tripadvisor.com/Restaurant_Review-g2342764-d11910781-Reviews-Acai_Express_Garavelo-Aparecida_De_Goiania_State_of_Goias.html | https://cardapio.menu/restaurants/aparecida-de-goiania/acai-express-garavelo</t>
        </is>
      </c>
      <c r="T6" s="3" t="inlineStr">
        <is>
          <t>≈ 1–2 min a pé (estimativa)</t>
        </is>
      </c>
      <c r="U6" s="3" t="inlineStr">
        <is>
          <t>≈ 80–150 m (estimativa; rota não verificada)</t>
        </is>
      </c>
      <c r="V6" s="3" t="inlineStr">
        <is>
          <t>5–12 min (fora do pico)</t>
        </is>
      </c>
      <c r="W6" s="3" t="inlineStr">
        <is>
          <t>9h30–11h ou 14h30–16h30</t>
        </is>
      </c>
      <c r="X6" s="3" t="inlineStr">
        <is>
          <t>09:21</t>
        </is>
      </c>
      <c r="Y6" s="3" t="inlineStr">
        <is>
          <t>Não visitado</t>
        </is>
      </c>
      <c r="Z6" s="3" t="inlineStr"/>
      <c r="AA6" s="3" t="inlineStr"/>
      <c r="AB6" s="3" t="inlineStr">
        <is>
          <t>Confirmar existência e falar com o responsável</t>
        </is>
      </c>
    </row>
    <row r="7">
      <c r="A7" s="3" t="inlineStr">
        <is>
          <t>Quinta-feira, 29/10/2026</t>
        </is>
      </c>
      <c r="B7" s="3" t="n">
        <v>6</v>
      </c>
      <c r="C7" s="3" t="inlineStr">
        <is>
          <t>Isodonto Cais</t>
        </is>
      </c>
      <c r="D7" s="3" t="inlineStr">
        <is>
          <t>Clínica odontológica (rede)</t>
        </is>
      </c>
      <c r="E7" s="3" t="inlineStr">
        <is>
          <t>Av. da Igualdade, 734-802</t>
        </is>
      </c>
      <c r="F7" s="3" t="inlineStr">
        <is>
          <t>Setor Garavelo</t>
        </is>
      </c>
      <c r="G7" s="3" t="inlineStr">
        <is>
          <t>Aparecida de Goiânia</t>
        </is>
      </c>
      <c r="H7" s="3" t="inlineStr">
        <is>
          <t>não confirmado</t>
        </is>
      </c>
      <c r="I7" s="3" t="inlineStr">
        <is>
          <t>Não verificada (Google Maps bloqueado no ambiente)</t>
        </is>
      </c>
      <c r="J7" s="3" t="inlineStr">
        <is>
          <t>Não verificada</t>
        </is>
      </c>
      <c r="K7" s="3" t="inlineStr">
        <is>
          <t>—</t>
        </is>
      </c>
      <c r="L7" s="3" t="inlineStr">
        <is>
          <t>não confirmado</t>
        </is>
      </c>
      <c r="M7" s="5" t="inlineStr">
        <is>
          <t>Abrir no Maps</t>
        </is>
      </c>
      <c r="N7" s="5" t="inlineStr">
        <is>
          <t>Rota a pé</t>
        </is>
      </c>
      <c r="O7" s="3" t="n">
        <v>68</v>
      </c>
      <c r="P7" s="3" t="inlineStr">
        <is>
          <t>Encaixe 26/35 · Decisor 7/20 · Evidência 13/20 · Balcão 8/10 · Rota 14/15</t>
        </is>
      </c>
      <c r="Q7" s="3" t="inlineStr">
        <is>
          <t>Rede regional: falar com o gerente da unidade; prioridade baixa.</t>
        </is>
      </c>
      <c r="R7" s="3" t="inlineStr">
        <is>
          <t>Média: agregador</t>
        </is>
      </c>
      <c r="S7" s="3" t="inlineStr">
        <is>
          <t>https://setor-garavelo-go.mybrazilinfo.com/isodonto-cais/</t>
        </is>
      </c>
      <c r="T7" s="3" t="inlineStr">
        <is>
          <t>≈ 1–3 min a pé (estimativa)</t>
        </is>
      </c>
      <c r="U7" s="3" t="inlineStr">
        <is>
          <t>≈ 100–200 m (estimativa; rota não verificada)</t>
        </is>
      </c>
      <c r="V7" s="3" t="inlineStr">
        <is>
          <t>4–10 min (recepção; peça o responsável)</t>
        </is>
      </c>
      <c r="W7" s="3" t="inlineStr">
        <is>
          <t>8h30–11h30 ou 14h–17h</t>
        </is>
      </c>
      <c r="X7" s="3" t="inlineStr">
        <is>
          <t>09:35</t>
        </is>
      </c>
      <c r="Y7" s="3" t="inlineStr">
        <is>
          <t>Não visitado</t>
        </is>
      </c>
      <c r="Z7" s="3" t="inlineStr"/>
      <c r="AA7" s="3" t="inlineStr"/>
      <c r="AB7" s="3" t="inlineStr">
        <is>
          <t>Confirmar existência e falar com o responsável</t>
        </is>
      </c>
    </row>
    <row r="8">
      <c r="A8" s="3" t="inlineStr">
        <is>
          <t>Quinta-feira, 29/10/2026</t>
        </is>
      </c>
      <c r="B8" s="3" t="n">
        <v>7</v>
      </c>
      <c r="C8" s="3" t="inlineStr">
        <is>
          <t>Utramed Clínica Médica</t>
        </is>
      </c>
      <c r="D8" s="3" t="inlineStr">
        <is>
          <t>Clínica médica</t>
        </is>
      </c>
      <c r="E8" s="3" t="inlineStr">
        <is>
          <t>Av. da Igualdade, 804-944</t>
        </is>
      </c>
      <c r="F8" s="3" t="inlineStr">
        <is>
          <t>Setor Garavelo</t>
        </is>
      </c>
      <c r="G8" s="3" t="inlineStr">
        <is>
          <t>Aparecida de Goiânia</t>
        </is>
      </c>
      <c r="H8" s="3" t="inlineStr">
        <is>
          <t>não confirmado</t>
        </is>
      </c>
      <c r="I8" s="3" t="inlineStr">
        <is>
          <t>Não verificada (Google Maps bloqueado no ambiente)</t>
        </is>
      </c>
      <c r="J8" s="3" t="inlineStr">
        <is>
          <t>Não verificada</t>
        </is>
      </c>
      <c r="K8" s="3" t="inlineStr">
        <is>
          <t>—</t>
        </is>
      </c>
      <c r="L8" s="3" t="inlineStr">
        <is>
          <t>não confirmado</t>
        </is>
      </c>
      <c r="M8" s="5" t="inlineStr">
        <is>
          <t>Abrir no Maps</t>
        </is>
      </c>
      <c r="N8" s="5" t="inlineStr">
        <is>
          <t>Rota a pé</t>
        </is>
      </c>
      <c r="O8" s="3" t="n">
        <v>79</v>
      </c>
      <c r="P8" s="3" t="inlineStr">
        <is>
          <t>Encaixe 26/35 · Decisor 18/20 · Evidência 13/20 · Balcão 8/10 · Rota 14/15</t>
        </is>
      </c>
      <c r="Q8" s="3" t="inlineStr">
        <is>
          <t>Clínica com recepção e fluxo constante.</t>
        </is>
      </c>
      <c r="R8" s="3" t="inlineStr">
        <is>
          <t>Média: agregador</t>
        </is>
      </c>
      <c r="S8" s="3" t="inlineStr">
        <is>
          <t>https://setor-garavelo-go.mybrazilinfo.com/utramed-clinica-medica/</t>
        </is>
      </c>
      <c r="T8" s="3" t="inlineStr">
        <is>
          <t>≈ 1–3 min a pé (estimativa)</t>
        </is>
      </c>
      <c r="U8" s="3" t="inlineStr">
        <is>
          <t>≈ 50–200 m (estimativa; rota não verificada)</t>
        </is>
      </c>
      <c r="V8" s="3" t="inlineStr">
        <is>
          <t>4–10 min (recepção; peça o responsável)</t>
        </is>
      </c>
      <c r="W8" s="3" t="inlineStr">
        <is>
          <t>8h30–11h30 ou 14h–17h</t>
        </is>
      </c>
      <c r="X8" s="3" t="inlineStr">
        <is>
          <t>09:49</t>
        </is>
      </c>
      <c r="Y8" s="3" t="inlineStr">
        <is>
          <t>Não visitado</t>
        </is>
      </c>
      <c r="Z8" s="3" t="inlineStr"/>
      <c r="AA8" s="3" t="inlineStr"/>
      <c r="AB8" s="3" t="inlineStr">
        <is>
          <t>Confirmar existência e falar com o responsável</t>
        </is>
      </c>
    </row>
    <row r="9">
      <c r="A9" s="3" t="inlineStr">
        <is>
          <t>Quinta-feira, 29/10/2026</t>
        </is>
      </c>
      <c r="B9" s="3" t="n">
        <v>8</v>
      </c>
      <c r="C9" s="3" t="inlineStr">
        <is>
          <t>Iso Clínica – unidade Garavelo</t>
        </is>
      </c>
      <c r="D9" s="3" t="inlineStr">
        <is>
          <t>Clínica de saúde (rede)</t>
        </is>
      </c>
      <c r="E9" s="3" t="inlineStr">
        <is>
          <t>Av. da Igualdade, 1379-1447, CEP 74930-530</t>
        </is>
      </c>
      <c r="F9" s="3" t="inlineStr">
        <is>
          <t>Setor Garavelo</t>
        </is>
      </c>
      <c r="G9" s="3" t="inlineStr">
        <is>
          <t>Aparecida de Goiânia</t>
        </is>
      </c>
      <c r="H9" s="3" t="inlineStr">
        <is>
          <t>não confirmado</t>
        </is>
      </c>
      <c r="I9" s="3" t="inlineStr">
        <is>
          <t>Não verificada (Google Maps bloqueado no ambiente)</t>
        </is>
      </c>
      <c r="J9" s="3" t="inlineStr">
        <is>
          <t>Não verificada</t>
        </is>
      </c>
      <c r="K9" s="3" t="inlineStr">
        <is>
          <t>—</t>
        </is>
      </c>
      <c r="L9" s="3" t="inlineStr">
        <is>
          <t>não confirmado</t>
        </is>
      </c>
      <c r="M9" s="5" t="inlineStr">
        <is>
          <t>Abrir no Maps</t>
        </is>
      </c>
      <c r="N9" s="5" t="inlineStr">
        <is>
          <t>Rota a pé</t>
        </is>
      </c>
      <c r="O9" s="3" t="n">
        <v>68</v>
      </c>
      <c r="P9" s="3" t="inlineStr">
        <is>
          <t>Encaixe 26/35 · Decisor 7/20 · Evidência 13/20 · Balcão 8/10 · Rota 14/15</t>
        </is>
      </c>
      <c r="Q9" s="3" t="inlineStr">
        <is>
          <t>Clínica popular de rede: gerente de unidade pode aprovar item de baixo custo.</t>
        </is>
      </c>
      <c r="R9" s="3" t="inlineStr">
        <is>
          <t>Média: agregador</t>
        </is>
      </c>
      <c r="S9" s="3" t="inlineStr">
        <is>
          <t>https://setor-garavelo-go.mybrazilinfo.com/iso-clinica-unidade-garavelo/</t>
        </is>
      </c>
      <c r="T9" s="3" t="inlineStr">
        <is>
          <t>≈ 6–9 min a pé (estimativa)</t>
        </is>
      </c>
      <c r="U9" s="3" t="inlineStr">
        <is>
          <t>≈ 450–650 m (estimativa; rota não verificada)</t>
        </is>
      </c>
      <c r="V9" s="3" t="inlineStr">
        <is>
          <t>4–10 min (recepção; peça o responsável)</t>
        </is>
      </c>
      <c r="W9" s="3" t="inlineStr">
        <is>
          <t>8h30–11h30 ou 14h–17h</t>
        </is>
      </c>
      <c r="X9" s="3" t="inlineStr">
        <is>
          <t>10:08</t>
        </is>
      </c>
      <c r="Y9" s="3" t="inlineStr">
        <is>
          <t>Não visitado</t>
        </is>
      </c>
      <c r="Z9" s="3" t="inlineStr"/>
      <c r="AA9" s="3" t="inlineStr">
        <is>
          <t>Depois desta visita: Pausa: água/descanso (15 min)</t>
        </is>
      </c>
      <c r="AB9" s="3" t="inlineStr">
        <is>
          <t>Confirmar existência e falar com o responsável</t>
        </is>
      </c>
    </row>
    <row r="10">
      <c r="A10" s="3" t="inlineStr">
        <is>
          <t>Quinta-feira, 29/10/2026</t>
        </is>
      </c>
      <c r="B10" s="3" t="n">
        <v>9</v>
      </c>
      <c r="C10" s="3" t="inlineStr">
        <is>
          <t>Criativa Papelaria, Bolsas e Acessórios</t>
        </is>
      </c>
      <c r="D10" s="3" t="inlineStr">
        <is>
          <t>Papelaria / presentes</t>
        </is>
      </c>
      <c r="E10" s="3" t="inlineStr">
        <is>
          <t>Av. da Igualdade, Qd. 92, Lt. 21, Sala 4, CEP 74930-530</t>
        </is>
      </c>
      <c r="F10" s="3" t="inlineStr">
        <is>
          <t>Setor Garavelo</t>
        </is>
      </c>
      <c r="G10" s="3" t="inlineStr">
        <is>
          <t>Aparecida de Goiânia</t>
        </is>
      </c>
      <c r="H10" s="3" t="inlineStr">
        <is>
          <t>não confirmado</t>
        </is>
      </c>
      <c r="I10" s="3" t="inlineStr">
        <is>
          <t>Não verificada (Google Maps bloqueado no ambiente)</t>
        </is>
      </c>
      <c r="J10" s="3" t="inlineStr">
        <is>
          <t>Não verificada</t>
        </is>
      </c>
      <c r="K10" s="3" t="inlineStr">
        <is>
          <t>—</t>
        </is>
      </c>
      <c r="L10" s="3" t="inlineStr">
        <is>
          <t>seg a sáb 8h-18h (site)</t>
        </is>
      </c>
      <c r="M10" s="5" t="inlineStr">
        <is>
          <t>Abrir no Maps</t>
        </is>
      </c>
      <c r="N10" s="5" t="inlineStr">
        <is>
          <t>Rota a pé</t>
        </is>
      </c>
      <c r="O10" s="3" t="n">
        <v>75</v>
      </c>
      <c r="P10" s="3" t="inlineStr">
        <is>
          <t>Encaixe 22/35 · Decisor 18/20 · Evidência 18/20 · Balcão 9/10 · Rota 8/15</t>
        </is>
      </c>
      <c r="Q10" s="3" t="inlineStr">
        <is>
          <t>Loja de presentes com balcão; site próprio indica gestão atenta ao digital.</t>
        </is>
      </c>
      <c r="R10" s="3" t="inlineStr">
        <is>
          <t>Forte: site oficial</t>
        </is>
      </c>
      <c r="S10" s="3" t="inlineStr">
        <is>
          <t>https://criativapapelariabolsas.com.br/localizacao/</t>
        </is>
      </c>
      <c r="T10" s="3" t="inlineStr">
        <is>
          <t>≈ 0–13 min a pé (estimativa)</t>
        </is>
      </c>
      <c r="U10" s="3" t="inlineStr">
        <is>
          <t>≈ 0–1000 m (estimativa; rota não verificada)</t>
        </is>
      </c>
      <c r="V10" s="3" t="inlineStr">
        <is>
          <t>5–10 min</t>
        </is>
      </c>
      <c r="W10" s="3" t="inlineStr">
        <is>
          <t>9h–12h ou 14h–17h</t>
        </is>
      </c>
      <c r="X10" s="3" t="inlineStr">
        <is>
          <t>10:42</t>
        </is>
      </c>
      <c r="Y10" s="3" t="inlineStr">
        <is>
          <t>Não visitado</t>
        </is>
      </c>
      <c r="Z10" s="3" t="inlineStr"/>
      <c r="AA10" s="3" t="inlineStr"/>
      <c r="AB10" s="3" t="inlineStr">
        <is>
          <t>Confirmar existência e falar com o responsável</t>
        </is>
      </c>
    </row>
    <row r="11">
      <c r="A11" s="3" t="inlineStr">
        <is>
          <t>Quinta-feira, 29/10/2026</t>
        </is>
      </c>
      <c r="B11" s="3" t="n">
        <v>10</v>
      </c>
      <c r="C11" s="3" t="inlineStr">
        <is>
          <t>Santa Barba</t>
        </is>
      </c>
      <c r="D11" s="3" t="inlineStr">
        <is>
          <t>Barbearia</t>
        </is>
      </c>
      <c r="E11" s="3" t="inlineStr">
        <is>
          <t>Av. da Igualdade, nº 02, Qd. 99, Lt. 01, Sala 02, CEP 74930-530</t>
        </is>
      </c>
      <c r="F11" s="3" t="inlineStr">
        <is>
          <t>Setor Garavelo</t>
        </is>
      </c>
      <c r="G11" s="3" t="inlineStr">
        <is>
          <t>Aparecida de Goiânia</t>
        </is>
      </c>
      <c r="H11" s="3" t="inlineStr">
        <is>
          <t>(62) 99197-7951</t>
        </is>
      </c>
      <c r="I11" s="3" t="inlineStr">
        <is>
          <t>Não verificada (Google Maps bloqueado no ambiente)</t>
        </is>
      </c>
      <c r="J11" s="3" t="inlineStr">
        <is>
          <t>Não verificada</t>
        </is>
      </c>
      <c r="K11" s="3" t="inlineStr">
        <is>
          <t>—</t>
        </is>
      </c>
      <c r="L11" s="3" t="inlineStr">
        <is>
          <t>seg a sex 9h-20h; sáb 9h-18h; dom fechado (Trinks)</t>
        </is>
      </c>
      <c r="M11" s="5" t="inlineStr">
        <is>
          <t>Abrir no Maps</t>
        </is>
      </c>
      <c r="N11" s="5" t="inlineStr">
        <is>
          <t>Rota a pé</t>
        </is>
      </c>
      <c r="O11" s="3" t="n">
        <v>87</v>
      </c>
      <c r="P11" s="3" t="inlineStr">
        <is>
          <t>Encaixe 34/35 · Decisor 18/20 · Evidência 18/20 · Balcão 9/10 · Rota 8/15</t>
        </is>
      </c>
      <c r="Q11" s="3" t="inlineStr">
        <is>
          <t>Barbearia com agenda online: prioridade máxima no dia.</t>
        </is>
      </c>
      <c r="R11" s="3" t="inlineStr">
        <is>
          <t>Forte: Trinks + cadastro Econodata</t>
        </is>
      </c>
      <c r="S11" s="3" t="inlineStr">
        <is>
          <t>https://www.trinks.com/santa-barba | https://www.econodata.com.br/empresas/go-aparecida-de-goiania/busca-barbearia</t>
        </is>
      </c>
      <c r="T11" s="3" t="inlineStr">
        <is>
          <t>≈ 1–5 min a pé (estimativa)</t>
        </is>
      </c>
      <c r="U11" s="3" t="inlineStr">
        <is>
          <t>≈ 100–400 m (estimativa; rota não verificada)</t>
        </is>
      </c>
      <c r="V11" s="3" t="inlineStr">
        <is>
          <t>6–15 min (pode haver cliente na cadeira)</t>
        </is>
      </c>
      <c r="W11" s="3" t="inlineStr">
        <is>
          <t>9h–11h30 ou 14h–16h30</t>
        </is>
      </c>
      <c r="X11" s="3" t="inlineStr">
        <is>
          <t>10:57</t>
        </is>
      </c>
      <c r="Y11" s="3" t="inlineStr">
        <is>
          <t>Não visitado</t>
        </is>
      </c>
      <c r="Z11" s="3" t="inlineStr"/>
      <c r="AA11" s="3" t="inlineStr"/>
      <c r="AB11" s="3" t="inlineStr">
        <is>
          <t>Confirmar existência e falar com o responsável</t>
        </is>
      </c>
    </row>
    <row r="12">
      <c r="A12" s="3" t="inlineStr">
        <is>
          <t>Quinta-feira, 29/10/2026</t>
        </is>
      </c>
      <c r="B12" s="3" t="n">
        <v>11</v>
      </c>
      <c r="C12" s="3" t="inlineStr">
        <is>
          <t>Campana Pizzaria e Restaurante</t>
        </is>
      </c>
      <c r="D12" s="3" t="inlineStr">
        <is>
          <t>Pizzaria / restaurante</t>
        </is>
      </c>
      <c r="E12" s="3" t="inlineStr">
        <is>
          <t>Av. da Igualdade, Qd. 99, Lt. 3</t>
        </is>
      </c>
      <c r="F12" s="3" t="inlineStr">
        <is>
          <t>Setor Garavelo</t>
        </is>
      </c>
      <c r="G12" s="3" t="inlineStr">
        <is>
          <t>Aparecida de Goiânia</t>
        </is>
      </c>
      <c r="H12" s="3" t="inlineStr">
        <is>
          <t>não confirmado</t>
        </is>
      </c>
      <c r="I12" s="3" t="inlineStr">
        <is>
          <t>Não verificada (Google Maps bloqueado no ambiente)</t>
        </is>
      </c>
      <c r="J12" s="3" t="inlineStr">
        <is>
          <t>Não verificada</t>
        </is>
      </c>
      <c r="K12" s="3" t="inlineStr">
        <is>
          <t>—</t>
        </is>
      </c>
      <c r="L12" s="3" t="inlineStr">
        <is>
          <t>não confirmado</t>
        </is>
      </c>
      <c r="M12" s="5" t="inlineStr">
        <is>
          <t>Abrir no Maps</t>
        </is>
      </c>
      <c r="N12" s="5" t="inlineStr">
        <is>
          <t>Rota a pé</t>
        </is>
      </c>
      <c r="O12" s="3" t="n">
        <v>74</v>
      </c>
      <c r="P12" s="3" t="inlineStr">
        <is>
          <t>Encaixe 31/35 · Decisor 18/20 · Evidência 8/20 · Balcão 9/10 · Rota 8/15</t>
        </is>
      </c>
      <c r="Q12" s="3" t="inlineStr">
        <is>
          <t>Restaurante na mesma quadra da Santa Barba.</t>
        </is>
      </c>
      <c r="R12" s="3" t="inlineStr">
        <is>
          <t>Fraca: 1 diretório</t>
        </is>
      </c>
      <c r="S12" s="3" t="inlineStr">
        <is>
          <t>https://aparecida-de-goiania.infoisinfo-br.com/busca/restaurante</t>
        </is>
      </c>
      <c r="T12" s="3" t="inlineStr">
        <is>
          <t>≈ 0–1 min a pé (estimativa)</t>
        </is>
      </c>
      <c r="U12" s="3" t="inlineStr">
        <is>
          <t>≈ 0–60 m (estimativa; rota não verificada)</t>
        </is>
      </c>
      <c r="V12" s="3" t="inlineStr">
        <is>
          <t>5–12 min (fora do pico)</t>
        </is>
      </c>
      <c r="W12" s="3" t="inlineStr">
        <is>
          <t>9h30–11h ou 14h30–16h30</t>
        </is>
      </c>
      <c r="X12" s="3" t="inlineStr">
        <is>
          <t>11:09</t>
        </is>
      </c>
      <c r="Y12" s="3" t="inlineStr">
        <is>
          <t>Não visitado</t>
        </is>
      </c>
      <c r="Z12" s="3" t="inlineStr"/>
      <c r="AA12" s="3" t="inlineStr"/>
      <c r="AB12" s="3" t="inlineStr">
        <is>
          <t>Confirmar existência e falar com o responsável</t>
        </is>
      </c>
    </row>
    <row r="13">
      <c r="A13" s="3" t="inlineStr">
        <is>
          <t>Quinta-feira, 29/10/2026</t>
        </is>
      </c>
      <c r="B13" s="3" t="n">
        <v>12</v>
      </c>
      <c r="C13" s="3" t="inlineStr">
        <is>
          <t>Clínica Veterinária Faro</t>
        </is>
      </c>
      <c r="D13" s="3" t="inlineStr">
        <is>
          <t>Clínica veterinária</t>
        </is>
      </c>
      <c r="E13" s="3" t="inlineStr">
        <is>
          <t>Av. da Igualdade, Qd. 103, Lt. 3, CEP 74930-530</t>
        </is>
      </c>
      <c r="F13" s="3" t="inlineStr">
        <is>
          <t>Setor Garavelo</t>
        </is>
      </c>
      <c r="G13" s="3" t="inlineStr">
        <is>
          <t>Aparecida de Goiânia</t>
        </is>
      </c>
      <c r="H13" s="3" t="inlineStr">
        <is>
          <t>(62) 3288-5031</t>
        </is>
      </c>
      <c r="I13" s="3" t="inlineStr">
        <is>
          <t>Não verificada (Google Maps bloqueado no ambiente)</t>
        </is>
      </c>
      <c r="J13" s="3" t="inlineStr">
        <is>
          <t>Não verificada</t>
        </is>
      </c>
      <c r="K13" s="3" t="inlineStr">
        <is>
          <t>—</t>
        </is>
      </c>
      <c r="L13" s="3" t="inlineStr">
        <is>
          <t>não confirmado</t>
        </is>
      </c>
      <c r="M13" s="5" t="inlineStr">
        <is>
          <t>Abrir no Maps</t>
        </is>
      </c>
      <c r="N13" s="5" t="inlineStr">
        <is>
          <t>Rota a pé</t>
        </is>
      </c>
      <c r="O13" s="3" t="n">
        <v>84</v>
      </c>
      <c r="P13" s="3" t="inlineStr">
        <is>
          <t>Encaixe 31/35 · Decisor 18/20 · Evidência 18/20 · Balcão 9/10 · Rota 8/15</t>
        </is>
      </c>
      <c r="Q13" s="3" t="inlineStr">
        <is>
          <t>Vet ativa: tutores escolhem veterinário por avaliações.</t>
        </is>
      </c>
      <c r="R13" s="3" t="inlineStr">
        <is>
          <t>Forte: CNPJ ativo (Econodata, atualizado out/2026) + Telelistas</t>
        </is>
      </c>
      <c r="S13" s="3" t="inlineStr">
        <is>
          <t>https://www.econodata.com.br/consulta-empresa/34248620000166-clinica-veterinaria-faro-ltda | https://www.telelistas.net/locais/go/aparecida+de+goiania/clinicas+e+hospitais+veterinarios/bu-5047527/clinica+veterinaria+faro+em+setor+garavelo</t>
        </is>
      </c>
      <c r="T13" s="3" t="inlineStr">
        <is>
          <t>≈ 1–5 min a pé (estimativa)</t>
        </is>
      </c>
      <c r="U13" s="3" t="inlineStr">
        <is>
          <t>≈ 100–400 m (estimativa; rota não verificada)</t>
        </is>
      </c>
      <c r="V13" s="3" t="inlineStr">
        <is>
          <t>6–12 min</t>
        </is>
      </c>
      <c r="W13" s="3" t="inlineStr">
        <is>
          <t>8h30–11h30 ou 14h–16h30</t>
        </is>
      </c>
      <c r="X13" s="3" t="inlineStr">
        <is>
          <t>11:25</t>
        </is>
      </c>
      <c r="Y13" s="3" t="inlineStr">
        <is>
          <t>Não visitado</t>
        </is>
      </c>
      <c r="Z13" s="3" t="inlineStr"/>
      <c r="AA13" s="3" t="inlineStr"/>
      <c r="AB13" s="3" t="inlineStr">
        <is>
          <t>Confirmar existência e falar com o responsável</t>
        </is>
      </c>
    </row>
    <row r="14">
      <c r="A14" s="3" t="inlineStr">
        <is>
          <t>Quinta-feira, 29/10/2026</t>
        </is>
      </c>
      <c r="B14" s="3" t="n">
        <v>13</v>
      </c>
      <c r="C14" s="3" t="inlineStr">
        <is>
          <t>Clínica Veterinária Animal Planet</t>
        </is>
      </c>
      <c r="D14" s="3" t="inlineStr">
        <is>
          <t>Clínica veterinária</t>
        </is>
      </c>
      <c r="E14" s="3" t="inlineStr">
        <is>
          <t>Av. da Igualdade, Qd. 104, Lt. 12</t>
        </is>
      </c>
      <c r="F14" s="3" t="inlineStr">
        <is>
          <t>Setor Garavelo</t>
        </is>
      </c>
      <c r="G14" s="3" t="inlineStr">
        <is>
          <t>Aparecida de Goiânia</t>
        </is>
      </c>
      <c r="H14" s="3" t="inlineStr">
        <is>
          <t>(62) 3288-5747</t>
        </is>
      </c>
      <c r="I14" s="3" t="inlineStr">
        <is>
          <t>Não verificada (Google Maps bloqueado no ambiente)</t>
        </is>
      </c>
      <c r="J14" s="3" t="inlineStr">
        <is>
          <t>Não verificada</t>
        </is>
      </c>
      <c r="K14" s="3" t="inlineStr">
        <is>
          <t>—</t>
        </is>
      </c>
      <c r="L14" s="3" t="inlineStr">
        <is>
          <t>não confirmado</t>
        </is>
      </c>
      <c r="M14" s="5" t="inlineStr">
        <is>
          <t>Abrir no Maps</t>
        </is>
      </c>
      <c r="N14" s="5" t="inlineStr">
        <is>
          <t>Rota a pé</t>
        </is>
      </c>
      <c r="O14" s="3" t="n">
        <v>74</v>
      </c>
      <c r="P14" s="3" t="inlineStr">
        <is>
          <t>Encaixe 31/35 · Decisor 18/20 · Evidência 8/20 · Balcão 9/10 · Rota 8/15</t>
        </is>
      </c>
      <c r="Q14" s="3" t="inlineStr">
        <is>
          <t>Segunda vet no mesmo trecho: compare argumentos sem citar a concorrente.</t>
        </is>
      </c>
      <c r="R14" s="3" t="inlineStr">
        <is>
          <t>Fraca: 1 diretório</t>
        </is>
      </c>
      <c r="S14" s="3" t="inlineStr">
        <is>
          <t>https://www.solutudo.com.br/empresas/go/aparecida-goiania/clinicas+veterinarias</t>
        </is>
      </c>
      <c r="T14" s="3" t="inlineStr">
        <is>
          <t>≈ 1–4 min a pé (estimativa)</t>
        </is>
      </c>
      <c r="U14" s="3" t="inlineStr">
        <is>
          <t>≈ 50–300 m (estimativa; rota não verificada)</t>
        </is>
      </c>
      <c r="V14" s="3" t="inlineStr">
        <is>
          <t>6–12 min</t>
        </is>
      </c>
      <c r="W14" s="3" t="inlineStr">
        <is>
          <t>8h30–11h30 ou 14h–16h30</t>
        </is>
      </c>
      <c r="X14" s="3" t="inlineStr">
        <is>
          <t>11:39</t>
        </is>
      </c>
      <c r="Y14" s="3" t="inlineStr">
        <is>
          <t>Não visitado</t>
        </is>
      </c>
      <c r="Z14" s="3" t="inlineStr"/>
      <c r="AA14" s="3" t="inlineStr"/>
      <c r="AB14" s="3" t="inlineStr">
        <is>
          <t>Confirmar existência e falar com o responsável</t>
        </is>
      </c>
    </row>
    <row r="15">
      <c r="A15" s="3" t="inlineStr">
        <is>
          <t>Quinta-feira, 29/10/2026</t>
        </is>
      </c>
      <c r="B15" s="3" t="n">
        <v>14</v>
      </c>
      <c r="C15" s="3" t="inlineStr">
        <is>
          <t>Mega Pastel</t>
        </is>
      </c>
      <c r="D15" s="3" t="inlineStr">
        <is>
          <t>Pastelaria</t>
        </is>
      </c>
      <c r="E15" s="3" t="inlineStr">
        <is>
          <t>Av. da Igualdade, s/n, Qd. 105, Lt. 04, Sala 08</t>
        </is>
      </c>
      <c r="F15" s="3" t="inlineStr">
        <is>
          <t>Setor Garavelo</t>
        </is>
      </c>
      <c r="G15" s="3" t="inlineStr">
        <is>
          <t>Aparecida de Goiânia</t>
        </is>
      </c>
      <c r="H15" s="3" t="inlineStr">
        <is>
          <t>não confirmado</t>
        </is>
      </c>
      <c r="I15" s="3" t="inlineStr">
        <is>
          <t>Não verificada (Google Maps bloqueado no ambiente)</t>
        </is>
      </c>
      <c r="J15" s="3" t="inlineStr">
        <is>
          <t>Não verificada</t>
        </is>
      </c>
      <c r="K15" s="3" t="inlineStr">
        <is>
          <t>—</t>
        </is>
      </c>
      <c r="L15" s="3" t="inlineStr">
        <is>
          <t>não confirmado</t>
        </is>
      </c>
      <c r="M15" s="5" t="inlineStr">
        <is>
          <t>Abrir no Maps</t>
        </is>
      </c>
      <c r="N15" s="5" t="inlineStr">
        <is>
          <t>Rota a pé</t>
        </is>
      </c>
      <c r="O15" s="3" t="n">
        <v>74</v>
      </c>
      <c r="P15" s="3" t="inlineStr">
        <is>
          <t>Encaixe 31/35 · Decisor 18/20 · Evidência 8/20 · Balcão 9/10 · Rota 8/15</t>
        </is>
      </c>
      <c r="Q15" s="3" t="inlineStr">
        <is>
          <t>Pastelaria de balcão com muito giro.</t>
        </is>
      </c>
      <c r="R15" s="3" t="inlineStr">
        <is>
          <t>Fraca: 1 diretório</t>
        </is>
      </c>
      <c r="S15" s="3" t="inlineStr">
        <is>
          <t>https://diretoriobrasil.net/lista/?atv=s&amp;c=9227&amp;e=9&amp;g=56112&amp;p=11&amp;sigla=go</t>
        </is>
      </c>
      <c r="T15" s="3" t="inlineStr">
        <is>
          <t>≈ 1–4 min a pé (estimativa)</t>
        </is>
      </c>
      <c r="U15" s="3" t="inlineStr">
        <is>
          <t>≈ 50–300 m (estimativa; rota não verificada)</t>
        </is>
      </c>
      <c r="V15" s="3" t="inlineStr">
        <is>
          <t>5–12 min (fora do pico)</t>
        </is>
      </c>
      <c r="W15" s="3" t="inlineStr">
        <is>
          <t>9h30–11h ou 14h30–16h30</t>
        </is>
      </c>
      <c r="X15" s="3" t="inlineStr">
        <is>
          <t>11:53</t>
        </is>
      </c>
      <c r="Y15" s="3" t="inlineStr">
        <is>
          <t>Não visitado</t>
        </is>
      </c>
      <c r="Z15" s="3" t="inlineStr"/>
      <c r="AA15" s="3" t="inlineStr">
        <is>
          <t>Depois desta visita: Almoço (60 min)</t>
        </is>
      </c>
      <c r="AB15" s="3" t="inlineStr">
        <is>
          <t>Confirmar existência e falar com o responsável</t>
        </is>
      </c>
    </row>
    <row r="16">
      <c r="A16" s="3" t="inlineStr">
        <is>
          <t>Quinta-feira, 29/10/2026</t>
        </is>
      </c>
      <c r="B16" s="3" t="n">
        <v>15</v>
      </c>
      <c r="C16" s="3" t="inlineStr">
        <is>
          <t>RS Pizzaria e Sorveteria</t>
        </is>
      </c>
      <c r="D16" s="3" t="inlineStr">
        <is>
          <t>Pizzaria / sorveteria</t>
        </is>
      </c>
      <c r="E16" s="3" t="inlineStr">
        <is>
          <t>Av. da Igualdade, Qd. 115</t>
        </is>
      </c>
      <c r="F16" s="3" t="inlineStr">
        <is>
          <t>Setor Garavelo</t>
        </is>
      </c>
      <c r="G16" s="3" t="inlineStr">
        <is>
          <t>Aparecida de Goiânia</t>
        </is>
      </c>
      <c r="H16" s="3" t="inlineStr">
        <is>
          <t>não confirmado</t>
        </is>
      </c>
      <c r="I16" s="3" t="inlineStr">
        <is>
          <t>Não verificada (Google Maps bloqueado no ambiente)</t>
        </is>
      </c>
      <c r="J16" s="3" t="inlineStr">
        <is>
          <t>Não verificada</t>
        </is>
      </c>
      <c r="K16" s="3" t="inlineStr">
        <is>
          <t>—</t>
        </is>
      </c>
      <c r="L16" s="3" t="inlineStr">
        <is>
          <t>não confirmado</t>
        </is>
      </c>
      <c r="M16" s="5" t="inlineStr">
        <is>
          <t>Abrir no Maps</t>
        </is>
      </c>
      <c r="N16" s="5" t="inlineStr">
        <is>
          <t>Rota a pé</t>
        </is>
      </c>
      <c r="O16" s="3" t="n">
        <v>74</v>
      </c>
      <c r="P16" s="3" t="inlineStr">
        <is>
          <t>Encaixe 31/35 · Decisor 18/20 · Evidência 8/20 · Balcão 9/10 · Rota 8/15</t>
        </is>
      </c>
      <c r="Q16" s="3" t="inlineStr">
        <is>
          <t>Sorveteria de dia + pizzaria à noite.</t>
        </is>
      </c>
      <c r="R16" s="3" t="inlineStr">
        <is>
          <t>Fraca: diretórios com endereços divergentes</t>
        </is>
      </c>
      <c r="S16" s="3" t="inlineStr">
        <is>
          <t>https://www.solutudo.com.br/empresas/go/aparecida-goiania/restaurantes</t>
        </is>
      </c>
      <c r="T16" s="3" t="inlineStr">
        <is>
          <t>≈ 3–11 min a pé (estimativa)</t>
        </is>
      </c>
      <c r="U16" s="3" t="inlineStr">
        <is>
          <t>≈ 200–800 m (estimativa; rota não verificada)</t>
        </is>
      </c>
      <c r="V16" s="3" t="inlineStr">
        <is>
          <t>5–12 min (fora do pico)</t>
        </is>
      </c>
      <c r="W16" s="3" t="inlineStr">
        <is>
          <t>9h30–11h ou 14h30–16h30</t>
        </is>
      </c>
      <c r="X16" s="3" t="inlineStr">
        <is>
          <t>13:12</t>
        </is>
      </c>
      <c r="Y16" s="3" t="inlineStr">
        <is>
          <t>Não visitado</t>
        </is>
      </c>
      <c r="Z16" s="3" t="inlineStr"/>
      <c r="AA16" s="3" t="inlineStr"/>
      <c r="AB16" s="3" t="inlineStr">
        <is>
          <t>Confirmar existência e falar com o responsável</t>
        </is>
      </c>
    </row>
    <row r="17">
      <c r="A17" s="3" t="inlineStr">
        <is>
          <t>Quinta-feira, 29/10/2026</t>
        </is>
      </c>
      <c r="B17" s="3" t="n">
        <v>16</v>
      </c>
      <c r="C17" s="3" t="inlineStr">
        <is>
          <t>Big Lar Utilidades – unidade Igualdade</t>
        </is>
      </c>
      <c r="D17" s="3" t="inlineStr">
        <is>
          <t>Utilidades / variedades</t>
        </is>
      </c>
      <c r="E17" s="3" t="inlineStr">
        <is>
          <t>Av. da Igualdade, Qd. 117, Lt. 01</t>
        </is>
      </c>
      <c r="F17" s="3" t="inlineStr">
        <is>
          <t>Setor Garavelo</t>
        </is>
      </c>
      <c r="G17" s="3" t="inlineStr">
        <is>
          <t>Aparecida de Goiânia</t>
        </is>
      </c>
      <c r="H17" s="3" t="inlineStr">
        <is>
          <t>(62) 99384-6672</t>
        </is>
      </c>
      <c r="I17" s="3" t="inlineStr">
        <is>
          <t>Não verificada (Google Maps bloqueado no ambiente)</t>
        </is>
      </c>
      <c r="J17" s="3" t="inlineStr">
        <is>
          <t>Não verificada</t>
        </is>
      </c>
      <c r="K17" s="3" t="inlineStr">
        <is>
          <t>—</t>
        </is>
      </c>
      <c r="L17" s="3" t="inlineStr">
        <is>
          <t>não confirmado</t>
        </is>
      </c>
      <c r="M17" s="5" t="inlineStr">
        <is>
          <t>Abrir no Maps</t>
        </is>
      </c>
      <c r="N17" s="5" t="inlineStr">
        <is>
          <t>Rota a pé</t>
        </is>
      </c>
      <c r="O17" s="3" t="n">
        <v>69</v>
      </c>
      <c r="P17" s="3" t="inlineStr">
        <is>
          <t>Encaixe 22/35 · Decisor 12/20 · Evidência 18/20 · Balcão 9/10 · Rota 8/15</t>
        </is>
      </c>
      <c r="Q17" s="3" t="inlineStr">
        <is>
          <t>Rede local de utilidades; peça o gerente (pode levar a outras unidades).</t>
        </is>
      </c>
      <c r="R17" s="3" t="inlineStr">
        <is>
          <t>Forte: site oficial da rede</t>
        </is>
      </c>
      <c r="S17" s="3" t="inlineStr">
        <is>
          <t>https://www.biglarutilidades.com.br/nossas-lojas</t>
        </is>
      </c>
      <c r="T17" s="3" t="inlineStr">
        <is>
          <t>≈ 1–4 min a pé (estimativa)</t>
        </is>
      </c>
      <c r="U17" s="3" t="inlineStr">
        <is>
          <t>≈ 100–300 m (estimativa; rota não verificada)</t>
        </is>
      </c>
      <c r="V17" s="3" t="inlineStr">
        <is>
          <t>5–10 min</t>
        </is>
      </c>
      <c r="W17" s="3" t="inlineStr">
        <is>
          <t>9h–12h ou 14h–17h</t>
        </is>
      </c>
      <c r="X17" s="3" t="inlineStr">
        <is>
          <t>13:27</t>
        </is>
      </c>
      <c r="Y17" s="3" t="inlineStr">
        <is>
          <t>Não visitado</t>
        </is>
      </c>
      <c r="Z17" s="3" t="inlineStr"/>
      <c r="AA17" s="3" t="inlineStr"/>
      <c r="AB17" s="3" t="inlineStr">
        <is>
          <t>Confirmar existência e falar com o responsável</t>
        </is>
      </c>
    </row>
    <row r="18">
      <c r="A18" s="3" t="inlineStr">
        <is>
          <t>Quinta-feira, 29/10/2026</t>
        </is>
      </c>
      <c r="B18" s="3" t="n">
        <v>17</v>
      </c>
      <c r="C18" s="3" t="inlineStr">
        <is>
          <t>Fique Belli Beleza e Cuidado</t>
        </is>
      </c>
      <c r="D18" s="3" t="inlineStr">
        <is>
          <t>Salão / estética</t>
        </is>
      </c>
      <c r="E18" s="3" t="inlineStr">
        <is>
          <t>Av. da Igualdade, Qd. 118, Lt. 18, Sala 01, CEP 74930-530</t>
        </is>
      </c>
      <c r="F18" s="3" t="inlineStr">
        <is>
          <t>Setor Garavelo</t>
        </is>
      </c>
      <c r="G18" s="3" t="inlineStr">
        <is>
          <t>Aparecida de Goiânia</t>
        </is>
      </c>
      <c r="H18" s="3" t="inlineStr">
        <is>
          <t>(62) 8481-6133 (formato antigo, provavelmente desatualizado)</t>
        </is>
      </c>
      <c r="I18" s="3" t="inlineStr">
        <is>
          <t>Não verificada (Google Maps bloqueado no ambiente)</t>
        </is>
      </c>
      <c r="J18" s="3" t="inlineStr">
        <is>
          <t>Não verificada</t>
        </is>
      </c>
      <c r="K18" s="3" t="inlineStr">
        <is>
          <t>—</t>
        </is>
      </c>
      <c r="L18" s="3" t="inlineStr">
        <is>
          <t>não confirmado</t>
        </is>
      </c>
      <c r="M18" s="5" t="inlineStr">
        <is>
          <t>Abrir no Maps</t>
        </is>
      </c>
      <c r="N18" s="5" t="inlineStr">
        <is>
          <t>Rota a pé</t>
        </is>
      </c>
      <c r="O18" s="3" t="n">
        <v>76</v>
      </c>
      <c r="P18" s="3" t="inlineStr">
        <is>
          <t>Encaixe 33/35 · Decisor 18/20 · Evidência 8/20 · Balcão 9/10 · Rota 8/15</t>
        </is>
      </c>
      <c r="Q18" s="3" t="inlineStr">
        <is>
          <t>Salão/estética na avenida principal.</t>
        </is>
      </c>
      <c r="R18" s="3" t="inlineStr">
        <is>
          <t>Fraca: 1 diretório</t>
        </is>
      </c>
      <c r="S18" s="3" t="inlineStr">
        <is>
          <t>https://www.diariocidade.com/go/aparecida-de-goiania/guia/saloes-de-beleza/</t>
        </is>
      </c>
      <c r="T18" s="3" t="inlineStr">
        <is>
          <t>≈ 1–3 min a pé (estimativa)</t>
        </is>
      </c>
      <c r="U18" s="3" t="inlineStr">
        <is>
          <t>≈ 50–200 m (estimativa; rota não verificada)</t>
        </is>
      </c>
      <c r="V18" s="3" t="inlineStr">
        <is>
          <t>6–15 min (pode haver cliente em atendimento)</t>
        </is>
      </c>
      <c r="W18" s="3" t="inlineStr">
        <is>
          <t>9h–11h ou 14h–16h</t>
        </is>
      </c>
      <c r="X18" s="3" t="inlineStr">
        <is>
          <t>13:40</t>
        </is>
      </c>
      <c r="Y18" s="3" t="inlineStr">
        <is>
          <t>Não visitado</t>
        </is>
      </c>
      <c r="Z18" s="3" t="inlineStr"/>
      <c r="AA18" s="3" t="inlineStr"/>
      <c r="AB18" s="3" t="inlineStr">
        <is>
          <t>Confirmar existência e falar com o responsável</t>
        </is>
      </c>
    </row>
    <row r="19">
      <c r="A19" s="3" t="inlineStr">
        <is>
          <t>Quinta-feira, 29/10/2026</t>
        </is>
      </c>
      <c r="B19" s="3" t="n">
        <v>18</v>
      </c>
      <c r="C19" s="3" t="inlineStr">
        <is>
          <t>Dr Atende Já! Clínica Popular</t>
        </is>
      </c>
      <c r="D19" s="3" t="inlineStr">
        <is>
          <t>Clínica médica popular</t>
        </is>
      </c>
      <c r="E19" s="3" t="inlineStr">
        <is>
          <t>Av. da Igualdade, Qd. 119, Lt. 03, Salas 01-03</t>
        </is>
      </c>
      <c r="F19" s="3" t="inlineStr">
        <is>
          <t>Garavelo Residencial Park</t>
        </is>
      </c>
      <c r="G19" s="3" t="inlineStr">
        <is>
          <t>Aparecida de Goiânia</t>
        </is>
      </c>
      <c r="H19" s="3" t="inlineStr">
        <is>
          <t>não confirmado</t>
        </is>
      </c>
      <c r="I19" s="3" t="inlineStr">
        <is>
          <t>Não verificada (Google Maps bloqueado no ambiente)</t>
        </is>
      </c>
      <c r="J19" s="3" t="inlineStr">
        <is>
          <t>Não verificada</t>
        </is>
      </c>
      <c r="K19" s="3" t="inlineStr">
        <is>
          <t>—</t>
        </is>
      </c>
      <c r="L19" s="3" t="inlineStr">
        <is>
          <t>não confirmado</t>
        </is>
      </c>
      <c r="M19" s="5" t="inlineStr">
        <is>
          <t>Abrir no Maps</t>
        </is>
      </c>
      <c r="N19" s="5" t="inlineStr">
        <is>
          <t>Rota a pé</t>
        </is>
      </c>
      <c r="O19" s="3" t="n">
        <v>73</v>
      </c>
      <c r="P19" s="3" t="inlineStr">
        <is>
          <t>Encaixe 26/35 · Decisor 18/20 · Evidência 13/20 · Balcão 8/10 · Rota 8/15</t>
        </is>
      </c>
      <c r="Q19" s="3" t="inlineStr">
        <is>
          <t>Clínica popular com recepção movimentada.</t>
        </is>
      </c>
      <c r="R19" s="3" t="inlineStr">
        <is>
          <t>Média: agregador</t>
        </is>
      </c>
      <c r="S19" s="3" t="inlineStr">
        <is>
          <t>https://setor-garavelo-residencial-park-go.mybrazilinfo.com/dr-atende-ja-clinica-popular/</t>
        </is>
      </c>
      <c r="T19" s="3" t="inlineStr">
        <is>
          <t>≈ 1–3 min a pé (estimativa)</t>
        </is>
      </c>
      <c r="U19" s="3" t="inlineStr">
        <is>
          <t>≈ 50–200 m (estimativa; rota não verificada)</t>
        </is>
      </c>
      <c r="V19" s="3" t="inlineStr">
        <is>
          <t>4–10 min (recepção; peça o responsável)</t>
        </is>
      </c>
      <c r="W19" s="3" t="inlineStr">
        <is>
          <t>8h30–11h30 ou 14h–17h</t>
        </is>
      </c>
      <c r="X19" s="3" t="inlineStr">
        <is>
          <t>13:54</t>
        </is>
      </c>
      <c r="Y19" s="3" t="inlineStr">
        <is>
          <t>Não visitado</t>
        </is>
      </c>
      <c r="Z19" s="3" t="inlineStr"/>
      <c r="AA19" s="3" t="inlineStr"/>
      <c r="AB19" s="3" t="inlineStr">
        <is>
          <t>Confirmar existência e falar com o responsável</t>
        </is>
      </c>
    </row>
    <row r="20">
      <c r="A20" s="3" t="inlineStr">
        <is>
          <t>Quinta-feira, 29/10/2026</t>
        </is>
      </c>
      <c r="B20" s="3" t="n">
        <v>19</v>
      </c>
      <c r="C20" s="3" t="inlineStr">
        <is>
          <t>Alice Fernandes Nails</t>
        </is>
      </c>
      <c r="D20" s="3" t="inlineStr">
        <is>
          <t>Esmalteria</t>
        </is>
      </c>
      <c r="E20" s="3" t="inlineStr">
        <is>
          <t>Av. da Igualdade, Qd. 122, Lt. 16, Sala 6 (superior), CEP 74930-530</t>
        </is>
      </c>
      <c r="F20" s="3" t="inlineStr">
        <is>
          <t>Setor Garavelo</t>
        </is>
      </c>
      <c r="G20" s="3" t="inlineStr">
        <is>
          <t>Aparecida de Goiânia</t>
        </is>
      </c>
      <c r="H20" s="3" t="inlineStr">
        <is>
          <t>(62) 8137-8683 (formato antigo)</t>
        </is>
      </c>
      <c r="I20" s="3" t="inlineStr">
        <is>
          <t>Não verificada (Google Maps bloqueado no ambiente)</t>
        </is>
      </c>
      <c r="J20" s="3" t="inlineStr">
        <is>
          <t>Não verificada</t>
        </is>
      </c>
      <c r="K20" s="3" t="inlineStr">
        <is>
          <t>—</t>
        </is>
      </c>
      <c r="L20" s="3" t="inlineStr">
        <is>
          <t>não confirmado</t>
        </is>
      </c>
      <c r="M20" s="5" t="inlineStr">
        <is>
          <t>Abrir no Maps</t>
        </is>
      </c>
      <c r="N20" s="5" t="inlineStr">
        <is>
          <t>Rota a pé</t>
        </is>
      </c>
      <c r="O20" s="3" t="n">
        <v>76</v>
      </c>
      <c r="P20" s="3" t="inlineStr">
        <is>
          <t>Encaixe 33/35 · Decisor 18/20 · Evidência 8/20 · Balcão 9/10 · Rota 8/15</t>
        </is>
      </c>
      <c r="Q20" s="3" t="inlineStr">
        <is>
          <t>Esmalteria: cliente fiel e atendimento demorado (tempo para conversar).</t>
        </is>
      </c>
      <c r="R20" s="3" t="inlineStr">
        <is>
          <t>Fraca: 1 diretório</t>
        </is>
      </c>
      <c r="S20" s="3" t="inlineStr">
        <is>
          <t>https://www.diariocidade.com/go/aparecida-de-goiania/guia/saloes-de-beleza/</t>
        </is>
      </c>
      <c r="T20" s="3" t="inlineStr">
        <is>
          <t>≈ 1–4 min a pé (estimativa)</t>
        </is>
      </c>
      <c r="U20" s="3" t="inlineStr">
        <is>
          <t>≈ 100–300 m (estimativa; rota não verificada)</t>
        </is>
      </c>
      <c r="V20" s="3" t="inlineStr">
        <is>
          <t>6–15 min (pode haver cliente em atendimento)</t>
        </is>
      </c>
      <c r="W20" s="3" t="inlineStr">
        <is>
          <t>9h–11h ou 14h–16h</t>
        </is>
      </c>
      <c r="X20" s="3" t="inlineStr">
        <is>
          <t>14:09</t>
        </is>
      </c>
      <c r="Y20" s="3" t="inlineStr">
        <is>
          <t>Não visitado</t>
        </is>
      </c>
      <c r="Z20" s="3" t="inlineStr"/>
      <c r="AA20" s="3" t="inlineStr"/>
      <c r="AB20" s="3" t="inlineStr">
        <is>
          <t>Confirmar existência e falar com o responsável</t>
        </is>
      </c>
    </row>
    <row r="21">
      <c r="A21" s="3" t="inlineStr">
        <is>
          <t>Quinta-feira, 29/10/2026</t>
        </is>
      </c>
      <c r="B21" s="3" t="n">
        <v>20</v>
      </c>
      <c r="C21" s="3" t="inlineStr">
        <is>
          <t>Medellin Barber Shop</t>
        </is>
      </c>
      <c r="D21" s="3" t="inlineStr">
        <is>
          <t>Barbearia</t>
        </is>
      </c>
      <c r="E21" s="3" t="inlineStr">
        <is>
          <t>Av. da Igualdade, Qd. 160 (em frente ao Cicloval)</t>
        </is>
      </c>
      <c r="F21" s="3" t="inlineStr">
        <is>
          <t>Setor Garavelo</t>
        </is>
      </c>
      <c r="G21" s="3" t="inlineStr">
        <is>
          <t>Aparecida de Goiânia</t>
        </is>
      </c>
      <c r="H21" s="3" t="inlineStr">
        <is>
          <t>não confirmado</t>
        </is>
      </c>
      <c r="I21" s="3" t="inlineStr">
        <is>
          <t>Não verificada (Google Maps bloqueado no ambiente)</t>
        </is>
      </c>
      <c r="J21" s="3" t="inlineStr">
        <is>
          <t>Não verificada</t>
        </is>
      </c>
      <c r="K21" s="3" t="inlineStr">
        <is>
          <t>—</t>
        </is>
      </c>
      <c r="L21" s="3" t="inlineStr">
        <is>
          <t>não confirmado</t>
        </is>
      </c>
      <c r="M21" s="5" t="inlineStr">
        <is>
          <t>Abrir no Maps</t>
        </is>
      </c>
      <c r="N21" s="5" t="inlineStr">
        <is>
          <t>Rota a pé</t>
        </is>
      </c>
      <c r="O21" s="3" t="n">
        <v>82</v>
      </c>
      <c r="P21" s="3" t="inlineStr">
        <is>
          <t>Encaixe 34/35 · Decisor 18/20 · Evidência 13/20 · Balcão 9/10 · Rota 8/15</t>
        </is>
      </c>
      <c r="Q21" s="3" t="inlineStr">
        <is>
          <t>Barbearia com agenda online.</t>
        </is>
      </c>
      <c r="R21" s="3" t="inlineStr">
        <is>
          <t>Média: listagem Booksy</t>
        </is>
      </c>
      <c r="S21" s="3" t="inlineStr">
        <is>
          <t>https://booksy.com/pt-br/s/barbearias/386151_aparecida-de-goiania</t>
        </is>
      </c>
      <c r="T21" s="3" t="inlineStr">
        <is>
          <t>≈ 4–13 min a pé (estimativa)</t>
        </is>
      </c>
      <c r="U21" s="3" t="inlineStr">
        <is>
          <t>≈ 300–1000 m (estimativa; rota não verificada)</t>
        </is>
      </c>
      <c r="V21" s="3" t="inlineStr">
        <is>
          <t>6–15 min (pode haver cliente na cadeira)</t>
        </is>
      </c>
      <c r="W21" s="3" t="inlineStr">
        <is>
          <t>9h–11h30 ou 14h–16h30</t>
        </is>
      </c>
      <c r="X21" s="3" t="inlineStr">
        <is>
          <t>14:29</t>
        </is>
      </c>
      <c r="Y21" s="3" t="inlineStr">
        <is>
          <t>Não visitado</t>
        </is>
      </c>
      <c r="Z21" s="3" t="inlineStr"/>
      <c r="AA21" s="3" t="inlineStr"/>
      <c r="AB21" s="3" t="inlineStr">
        <is>
          <t>Confirmar existência e falar com o responsável</t>
        </is>
      </c>
    </row>
    <row r="22">
      <c r="A22" s="3" t="inlineStr">
        <is>
          <t>Quinta-feira, 29/10/2026</t>
        </is>
      </c>
      <c r="B22" s="3" t="n">
        <v>21</v>
      </c>
      <c r="C22" s="3" t="inlineStr">
        <is>
          <t>Sorveteria Mec Milk</t>
        </is>
      </c>
      <c r="D22" s="3" t="inlineStr">
        <is>
          <t>Sorveteria</t>
        </is>
      </c>
      <c r="E22" s="3" t="inlineStr">
        <is>
          <t>Av. da Igualdade, s/n, Qd. 160, Lt. 16, Sala 5</t>
        </is>
      </c>
      <c r="F22" s="3" t="inlineStr">
        <is>
          <t>Setor Garavelo</t>
        </is>
      </c>
      <c r="G22" s="3" t="inlineStr">
        <is>
          <t>Aparecida de Goiânia</t>
        </is>
      </c>
      <c r="H22" s="3" t="inlineStr">
        <is>
          <t>não confirmado</t>
        </is>
      </c>
      <c r="I22" s="3" t="inlineStr">
        <is>
          <t>Não verificada (Google Maps bloqueado no ambiente)</t>
        </is>
      </c>
      <c r="J22" s="3" t="inlineStr">
        <is>
          <t>Não verificada</t>
        </is>
      </c>
      <c r="K22" s="3" t="inlineStr">
        <is>
          <t>—</t>
        </is>
      </c>
      <c r="L22" s="3" t="inlineStr">
        <is>
          <t>não confirmado</t>
        </is>
      </c>
      <c r="M22" s="5" t="inlineStr">
        <is>
          <t>Abrir no Maps</t>
        </is>
      </c>
      <c r="N22" s="5" t="inlineStr">
        <is>
          <t>Rota a pé</t>
        </is>
      </c>
      <c r="O22" s="3" t="n">
        <v>79</v>
      </c>
      <c r="P22" s="3" t="inlineStr">
        <is>
          <t>Encaixe 31/35 · Decisor 18/20 · Evidência 13/20 · Balcão 9/10 · Rota 8/15</t>
        </is>
      </c>
      <c r="Q22" s="3" t="inlineStr">
        <is>
          <t>Sorveteria elogiada pelos clientes: boa candidata a avaliações espontâneas.</t>
        </is>
      </c>
      <c r="R22" s="3" t="inlineStr">
        <is>
          <t>Média: página com avaliações (~3 anos)</t>
        </is>
      </c>
      <c r="S22" s="3" t="inlineStr">
        <is>
          <t>https://www.sluurpy.com.br/aparecida-de-goi%C3%A2nia/restaurante/1433161/sorveteria-mec-milk</t>
        </is>
      </c>
      <c r="T22" s="3" t="inlineStr">
        <is>
          <t>≈ 0–1 min a pé (estimativa)</t>
        </is>
      </c>
      <c r="U22" s="3" t="inlineStr">
        <is>
          <t>≈ 0–100 m (estimativa; rota não verificada)</t>
        </is>
      </c>
      <c r="V22" s="3" t="inlineStr">
        <is>
          <t>5–12 min (fora do pico)</t>
        </is>
      </c>
      <c r="W22" s="3" t="inlineStr">
        <is>
          <t>9h30–11h ou 14h30–16h30</t>
        </is>
      </c>
      <c r="X22" s="3" t="inlineStr">
        <is>
          <t>14:42</t>
        </is>
      </c>
      <c r="Y22" s="3" t="inlineStr">
        <is>
          <t>Não visitado</t>
        </is>
      </c>
      <c r="Z22" s="3" t="inlineStr"/>
      <c r="AA22" s="3" t="inlineStr"/>
      <c r="AB22" s="3" t="inlineStr">
        <is>
          <t>Confirmar existência e falar com o responsável</t>
        </is>
      </c>
    </row>
    <row r="23">
      <c r="A23" s="3" t="inlineStr">
        <is>
          <t>Quinta-feira, 29/10/2026</t>
        </is>
      </c>
      <c r="B23" s="3" t="n">
        <v>22</v>
      </c>
      <c r="C23" s="3" t="inlineStr">
        <is>
          <t>Pratos Grill Restaurante</t>
        </is>
      </c>
      <c r="D23" s="3" t="inlineStr">
        <is>
          <t>Restaurante</t>
        </is>
      </c>
      <c r="E23" s="3" t="inlineStr">
        <is>
          <t>Av. da Igualdade, esq. com Rua 12-C, s/n</t>
        </is>
      </c>
      <c r="F23" s="3" t="inlineStr">
        <is>
          <t>Setor Garavelo</t>
        </is>
      </c>
      <c r="G23" s="3" t="inlineStr">
        <is>
          <t>Aparecida de Goiânia</t>
        </is>
      </c>
      <c r="H23" s="3" t="inlineStr">
        <is>
          <t>não confirmado</t>
        </is>
      </c>
      <c r="I23" s="3" t="inlineStr">
        <is>
          <t>Não verificada (Google Maps bloqueado no ambiente)</t>
        </is>
      </c>
      <c r="J23" s="3" t="inlineStr">
        <is>
          <t>Não verificada</t>
        </is>
      </c>
      <c r="K23" s="3" t="inlineStr">
        <is>
          <t>—</t>
        </is>
      </c>
      <c r="L23" s="3" t="inlineStr">
        <is>
          <t>não confirmado</t>
        </is>
      </c>
      <c r="M23" s="5" t="inlineStr">
        <is>
          <t>Abrir no Maps</t>
        </is>
      </c>
      <c r="N23" s="5" t="inlineStr">
        <is>
          <t>Rota a pé</t>
        </is>
      </c>
      <c r="O23" s="3" t="n">
        <v>74</v>
      </c>
      <c r="P23" s="3" t="inlineStr">
        <is>
          <t>Encaixe 31/35 · Decisor 18/20 · Evidência 8/20 · Balcão 9/10 · Rota 8/15</t>
        </is>
      </c>
      <c r="Q23" s="3" t="inlineStr">
        <is>
          <t>Restaurante de almoço: visitar após 14h30.</t>
        </is>
      </c>
      <c r="R23" s="3" t="inlineStr">
        <is>
          <t>Fraca: 1 diretório</t>
        </is>
      </c>
      <c r="S23" s="3" t="inlineStr">
        <is>
          <t>https://www.solutudo.com.br/empresas/go/aparecida-goiania/restaurantes</t>
        </is>
      </c>
      <c r="T23" s="3" t="inlineStr">
        <is>
          <t>≈ 1–8 min a pé (estimativa)</t>
        </is>
      </c>
      <c r="U23" s="3" t="inlineStr">
        <is>
          <t>≈ 100–600 m (estimativa; rota não verificada)</t>
        </is>
      </c>
      <c r="V23" s="3" t="inlineStr">
        <is>
          <t>5–12 min (fora do pico)</t>
        </is>
      </c>
      <c r="W23" s="3" t="inlineStr">
        <is>
          <t>9h30–11h ou 14h30–16h30</t>
        </is>
      </c>
      <c r="X23" s="3" t="inlineStr">
        <is>
          <t>14:59</t>
        </is>
      </c>
      <c r="Y23" s="3" t="inlineStr">
        <is>
          <t>Não visitado</t>
        </is>
      </c>
      <c r="Z23" s="3" t="inlineStr"/>
      <c r="AA23" s="3" t="inlineStr">
        <is>
          <t>Depois desta visita: Pausa: água/descanso (15 min)</t>
        </is>
      </c>
      <c r="AB23" s="3" t="inlineStr">
        <is>
          <t>Confirmar existência e falar com o responsável</t>
        </is>
      </c>
    </row>
    <row r="24">
      <c r="A24" s="3" t="inlineStr">
        <is>
          <t>Quinta-feira, 29/10/2026</t>
        </is>
      </c>
      <c r="B24" s="3" t="n">
        <v>23</v>
      </c>
      <c r="C24" s="3" t="inlineStr">
        <is>
          <t>Cacau Show – Av. da Igualdade</t>
        </is>
      </c>
      <c r="D24" s="3" t="inlineStr">
        <is>
          <t>Chocolates (franquia)</t>
        </is>
      </c>
      <c r="E24" s="3" t="inlineStr">
        <is>
          <t>Av. da Igualdade, s/n</t>
        </is>
      </c>
      <c r="F24" s="3" t="inlineStr">
        <is>
          <t>Setor Garavelo</t>
        </is>
      </c>
      <c r="G24" s="3" t="inlineStr">
        <is>
          <t>Aparecida de Goiânia</t>
        </is>
      </c>
      <c r="H24" s="3" t="inlineStr">
        <is>
          <t>(62) 3578-4761</t>
        </is>
      </c>
      <c r="I24" s="3" t="inlineStr">
        <is>
          <t>Não verificada (Google Maps bloqueado no ambiente)</t>
        </is>
      </c>
      <c r="J24" s="3" t="inlineStr">
        <is>
          <t>Não verificada</t>
        </is>
      </c>
      <c r="K24" s="3" t="inlineStr">
        <is>
          <t>—</t>
        </is>
      </c>
      <c r="L24" s="3" t="inlineStr">
        <is>
          <t>não confirmado</t>
        </is>
      </c>
      <c r="M24" s="5" t="inlineStr">
        <is>
          <t>Abrir no Maps</t>
        </is>
      </c>
      <c r="N24" s="5" t="inlineStr">
        <is>
          <t>Rota a pé</t>
        </is>
      </c>
      <c r="O24" s="3" t="n">
        <v>59</v>
      </c>
      <c r="P24" s="3" t="inlineStr">
        <is>
          <t>Encaixe 22/35 · Decisor 7/20 · Evidência 13/20 · Balcão 9/10 · Rota 8/15</t>
        </is>
      </c>
      <c r="Q24" s="3" t="inlineStr">
        <is>
          <t>Franquia: só se o franqueado estiver; prioridade baixa.</t>
        </is>
      </c>
      <c r="R24" s="3" t="inlineStr">
        <is>
          <t>Média: TripAdvisor</t>
        </is>
      </c>
      <c r="S24" s="3" t="inlineStr">
        <is>
          <t>https://www.tripadvisor.com/Restaurant_Review-g2342764-d4538135-Reviews-Cacau_Show-Aparecida_De_Goiania_State_of_Goias.html</t>
        </is>
      </c>
      <c r="T24" s="3" t="inlineStr">
        <is>
          <t>≈ 1–8 min a pé (estimativa)</t>
        </is>
      </c>
      <c r="U24" s="3" t="inlineStr">
        <is>
          <t>≈ 100–600 m (estimativa; rota não verificada)</t>
        </is>
      </c>
      <c r="V24" s="3" t="inlineStr">
        <is>
          <t>5–10 min</t>
        </is>
      </c>
      <c r="W24" s="3" t="inlineStr">
        <is>
          <t>9h–12h ou 14h–17h</t>
        </is>
      </c>
      <c r="X24" s="3" t="inlineStr">
        <is>
          <t>15:30</t>
        </is>
      </c>
      <c r="Y24" s="3" t="inlineStr">
        <is>
          <t>Não visitado</t>
        </is>
      </c>
      <c r="Z24" s="3" t="inlineStr"/>
      <c r="AA24" s="3" t="inlineStr"/>
      <c r="AB24" s="3" t="inlineStr">
        <is>
          <t>Confirmar existência e falar com o responsável</t>
        </is>
      </c>
    </row>
    <row r="25">
      <c r="A25" s="3" t="inlineStr">
        <is>
          <t>Quinta-feira, 29/10/2026</t>
        </is>
      </c>
      <c r="B25" s="3" t="n">
        <v>24</v>
      </c>
      <c r="C25" s="3" t="inlineStr">
        <is>
          <t>Lan Castro Restaurante &amp; Sanduicheria</t>
        </is>
      </c>
      <c r="D25" s="3" t="inlineStr">
        <is>
          <t>Restaurante / sanduicheria</t>
        </is>
      </c>
      <c r="E25" s="3" t="inlineStr">
        <is>
          <t>Av. da Igualdade (número não informado)</t>
        </is>
      </c>
      <c r="F25" s="3" t="inlineStr">
        <is>
          <t>Setor Garavelo</t>
        </is>
      </c>
      <c r="G25" s="3" t="inlineStr">
        <is>
          <t>Aparecida de Goiânia</t>
        </is>
      </c>
      <c r="H25" s="3" t="inlineStr">
        <is>
          <t>não confirmado</t>
        </is>
      </c>
      <c r="I25" s="3" t="inlineStr">
        <is>
          <t>Não verificada (Google Maps bloqueado no ambiente)</t>
        </is>
      </c>
      <c r="J25" s="3" t="inlineStr">
        <is>
          <t>Não verificada</t>
        </is>
      </c>
      <c r="K25" s="3" t="inlineStr">
        <is>
          <t>—</t>
        </is>
      </c>
      <c r="L25" s="3" t="inlineStr">
        <is>
          <t>não confirmado</t>
        </is>
      </c>
      <c r="M25" s="5" t="inlineStr">
        <is>
          <t>Abrir no Maps</t>
        </is>
      </c>
      <c r="N25" s="5" t="inlineStr">
        <is>
          <t>Rota a pé</t>
        </is>
      </c>
      <c r="O25" s="3" t="n">
        <v>74</v>
      </c>
      <c r="P25" s="3" t="inlineStr">
        <is>
          <t>Encaixe 31/35 · Decisor 18/20 · Evidência 8/20 · Balcão 9/10 · Rota 8/15</t>
        </is>
      </c>
      <c r="Q25" s="3" t="inlineStr">
        <is>
          <t>Lanchonete na avenida; se não achar, substitua por porta a porta.</t>
        </is>
      </c>
      <c r="R25" s="3" t="inlineStr">
        <is>
          <t>Fraca: 1 diretório</t>
        </is>
      </c>
      <c r="S25" s="3" t="inlineStr">
        <is>
          <t>https://www.telelistas.net/go/aparecida+de+goiania/em+setor+garavelo/restaurantes</t>
        </is>
      </c>
      <c r="T25" s="3" t="inlineStr">
        <is>
          <t>≈ 1–8 min a pé (estimativa)</t>
        </is>
      </c>
      <c r="U25" s="3" t="inlineStr">
        <is>
          <t>≈ 100–600 m (estimativa; rota não verificada)</t>
        </is>
      </c>
      <c r="V25" s="3" t="inlineStr">
        <is>
          <t>5–12 min (fora do pico)</t>
        </is>
      </c>
      <c r="W25" s="3" t="inlineStr">
        <is>
          <t>9h30–11h ou 14h30–16h30</t>
        </is>
      </c>
      <c r="X25" s="3" t="inlineStr">
        <is>
          <t>15:47</t>
        </is>
      </c>
      <c r="Y25" s="3" t="inlineStr">
        <is>
          <t>Não visitado</t>
        </is>
      </c>
      <c r="Z25" s="3" t="inlineStr"/>
      <c r="AA25" s="3" t="inlineStr"/>
      <c r="AB25" s="3" t="inlineStr">
        <is>
          <t>Confirmar existência e falar com o responsável</t>
        </is>
      </c>
    </row>
    <row r="26">
      <c r="A26" s="3" t="inlineStr">
        <is>
          <t>Quinta-feira, 29/10/2026</t>
        </is>
      </c>
      <c r="B26" s="3" t="n">
        <v>25</v>
      </c>
      <c r="C26" s="3" t="inlineStr">
        <is>
          <t>Garavelo Restaurante</t>
        </is>
      </c>
      <c r="D26" s="3" t="inlineStr">
        <is>
          <t>Restaurante</t>
        </is>
      </c>
      <c r="E26" s="3" t="inlineStr">
        <is>
          <t>Rua 8-C, Qd. 89, Lt. 37 (ao lado da Caixa Econômica)</t>
        </is>
      </c>
      <c r="F26" s="3" t="inlineStr">
        <is>
          <t>Setor Garavelo</t>
        </is>
      </c>
      <c r="G26" s="3" t="inlineStr">
        <is>
          <t>Aparecida de Goiânia</t>
        </is>
      </c>
      <c r="H26" s="3" t="inlineStr">
        <is>
          <t>(62) 3588-7108 (outra fonte: (62) 3224-3518)</t>
        </is>
      </c>
      <c r="I26" s="3" t="inlineStr">
        <is>
          <t>Não verificada (Google Maps bloqueado no ambiente)</t>
        </is>
      </c>
      <c r="J26" s="3" t="inlineStr">
        <is>
          <t>Não verificada</t>
        </is>
      </c>
      <c r="K26" s="3" t="inlineStr">
        <is>
          <t>—</t>
        </is>
      </c>
      <c r="L26" s="3" t="inlineStr">
        <is>
          <t>não confirmado</t>
        </is>
      </c>
      <c r="M26" s="5" t="inlineStr">
        <is>
          <t>Abrir no Maps</t>
        </is>
      </c>
      <c r="N26" s="5" t="inlineStr">
        <is>
          <t>Rota a pé</t>
        </is>
      </c>
      <c r="O26" s="3" t="n">
        <v>77</v>
      </c>
      <c r="P26" s="3" t="inlineStr">
        <is>
          <t>Encaixe 31/35 · Decisor 18/20 · Evidência 8/20 · Balcão 9/10 · Rota 11/15</t>
        </is>
      </c>
      <c r="Q26" s="3" t="inlineStr">
        <is>
          <t>Restaurante tradicional do setor.</t>
        </is>
      </c>
      <c r="R26" s="3" t="inlineStr">
        <is>
          <t>Fraca: diretório; telefones divergentes</t>
        </is>
      </c>
      <c r="S26" s="3" t="inlineStr">
        <is>
          <t>https://www.diariocidade.com/go/aparecida-de-goiania/guia/garavelo-restaurante-07603671000196/</t>
        </is>
      </c>
      <c r="T26" s="3" t="inlineStr">
        <is>
          <t>≈ 3–8 min a pé (estimativa)</t>
        </is>
      </c>
      <c r="U26" s="3" t="inlineStr">
        <is>
          <t>≈ 200–600 m (estimativa; rota não verificada)</t>
        </is>
      </c>
      <c r="V26" s="3" t="inlineStr">
        <is>
          <t>5–12 min (fora do pico)</t>
        </is>
      </c>
      <c r="W26" s="3" t="inlineStr">
        <is>
          <t>9h30–11h ou 14h30–16h30</t>
        </is>
      </c>
      <c r="X26" s="3" t="inlineStr">
        <is>
          <t>16:04</t>
        </is>
      </c>
      <c r="Y26" s="3" t="inlineStr">
        <is>
          <t>Não visitado</t>
        </is>
      </c>
      <c r="Z26" s="3" t="inlineStr"/>
      <c r="AA26" s="3" t="inlineStr"/>
      <c r="AB26" s="3" t="inlineStr">
        <is>
          <t>Confirmar existência e falar com o responsável</t>
        </is>
      </c>
    </row>
    <row r="27">
      <c r="A27" s="3" t="inlineStr">
        <is>
          <t>Quinta-feira, 29/10/2026</t>
        </is>
      </c>
      <c r="B27" s="3" t="n">
        <v>26</v>
      </c>
      <c r="C27" s="3" t="inlineStr">
        <is>
          <t>Barbearia Daniel School</t>
        </is>
      </c>
      <c r="D27" s="3" t="inlineStr">
        <is>
          <t>Barbearia + curso de barbeiro</t>
        </is>
      </c>
      <c r="E27" s="3" t="inlineStr">
        <is>
          <t>Av. dos Democratas, Qd. 130, Lt. 15, CEP 74930-480</t>
        </is>
      </c>
      <c r="F27" s="3" t="inlineStr">
        <is>
          <t>Setor Garavelo</t>
        </is>
      </c>
      <c r="G27" s="3" t="inlineStr">
        <is>
          <t>Aparecida de Goiânia</t>
        </is>
      </c>
      <c r="H27" s="3" t="inlineStr">
        <is>
          <t>(62) 99198-8761 / (62) 98170-2036</t>
        </is>
      </c>
      <c r="I27" s="3" t="inlineStr">
        <is>
          <t>Não verificada (Google Maps bloqueado no ambiente)</t>
        </is>
      </c>
      <c r="J27" s="3" t="inlineStr">
        <is>
          <t>Não verificada</t>
        </is>
      </c>
      <c r="K27" s="3" t="inlineStr">
        <is>
          <t>—</t>
        </is>
      </c>
      <c r="L27" s="3" t="inlineStr">
        <is>
          <t>seg a sáb 9h-19h (Trinks)</t>
        </is>
      </c>
      <c r="M27" s="5" t="inlineStr">
        <is>
          <t>Abrir no Maps</t>
        </is>
      </c>
      <c r="N27" s="5" t="inlineStr">
        <is>
          <t>Rota a pé</t>
        </is>
      </c>
      <c r="O27" s="3" t="n">
        <v>90</v>
      </c>
      <c r="P27" s="3" t="inlineStr">
        <is>
          <t>Encaixe 34/35 · Decisor 18/20 · Evidência 18/20 · Balcão 9/10 · Rota 11/15</t>
        </is>
      </c>
      <c r="Q27" s="3" t="inlineStr">
        <is>
          <t>Barbearia-escola: pode comprar para a unidade e indicar aos alunos.</t>
        </is>
      </c>
      <c r="R27" s="3" t="inlineStr">
        <is>
          <t>Forte: Trinks com horários</t>
        </is>
      </c>
      <c r="S27" s="3" t="inlineStr">
        <is>
          <t>https://www.trinks.com/barbearia-daniel-school</t>
        </is>
      </c>
      <c r="T27" s="3" t="inlineStr">
        <is>
          <t>≈ 4–13 min a pé (estimativa)</t>
        </is>
      </c>
      <c r="U27" s="3" t="inlineStr">
        <is>
          <t>≈ 300–1000 m (estimativa; rota não verificada)</t>
        </is>
      </c>
      <c r="V27" s="3" t="inlineStr">
        <is>
          <t>6–15 min (pode haver cliente na cadeira)</t>
        </is>
      </c>
      <c r="W27" s="3" t="inlineStr">
        <is>
          <t>9h–11h30 ou 14h–16h30</t>
        </is>
      </c>
      <c r="X27" s="3" t="inlineStr">
        <is>
          <t>16:25</t>
        </is>
      </c>
      <c r="Y27" s="3" t="inlineStr">
        <is>
          <t>Não visitado</t>
        </is>
      </c>
      <c r="Z27" s="3" t="inlineStr"/>
      <c r="AA27" s="3" t="inlineStr"/>
      <c r="AB27" s="3" t="inlineStr">
        <is>
          <t>Confirmar existência e falar com o responsável</t>
        </is>
      </c>
    </row>
    <row r="28">
      <c r="A28" s="3" t="inlineStr">
        <is>
          <t>Quinta-feira, 29/10/2026</t>
        </is>
      </c>
      <c r="B28" s="3" t="n">
        <v>27</v>
      </c>
      <c r="C28" s="3" t="inlineStr">
        <is>
          <t>Studio Poliana Maia</t>
        </is>
      </c>
      <c r="D28" s="3" t="inlineStr">
        <is>
          <t>Salão de beleza</t>
        </is>
      </c>
      <c r="E28" s="3" t="inlineStr">
        <is>
          <t>Av. da Paz</t>
        </is>
      </c>
      <c r="F28" s="3" t="inlineStr">
        <is>
          <t>Setor Garavelo</t>
        </is>
      </c>
      <c r="G28" s="3" t="inlineStr">
        <is>
          <t>Aparecida de Goiânia</t>
        </is>
      </c>
      <c r="H28" s="3" t="inlineStr">
        <is>
          <t>não confirmado</t>
        </is>
      </c>
      <c r="I28" s="3" t="inlineStr">
        <is>
          <t>Não verificada (Google Maps bloqueado no ambiente)</t>
        </is>
      </c>
      <c r="J28" s="3" t="inlineStr">
        <is>
          <t>Não verificada</t>
        </is>
      </c>
      <c r="K28" s="3" t="inlineStr">
        <is>
          <t>—</t>
        </is>
      </c>
      <c r="L28" s="3" t="inlineStr">
        <is>
          <t>seg a sáb 8h-20h (Trinks)</t>
        </is>
      </c>
      <c r="M28" s="5" t="inlineStr">
        <is>
          <t>Abrir no Maps</t>
        </is>
      </c>
      <c r="N28" s="5" t="inlineStr">
        <is>
          <t>Rota a pé</t>
        </is>
      </c>
      <c r="O28" s="3" t="n">
        <v>89</v>
      </c>
      <c r="P28" s="3" t="inlineStr">
        <is>
          <t>Encaixe 33/35 · Decisor 18/20 · Evidência 18/20 · Balcão 9/10 · Rota 11/15</t>
        </is>
      </c>
      <c r="Q28" s="3" t="inlineStr">
        <is>
          <t>Salão com agenda online e horário estendido.</t>
        </is>
      </c>
      <c r="R28" s="3" t="inlineStr">
        <is>
          <t>Forte: Trinks</t>
        </is>
      </c>
      <c r="S28" s="3" t="inlineStr">
        <is>
          <t>https://www.trinks.com/studio-poliana-maia</t>
        </is>
      </c>
      <c r="T28" s="3" t="inlineStr">
        <is>
          <t>≈ 4–13 min a pé (estimativa)</t>
        </is>
      </c>
      <c r="U28" s="3" t="inlineStr">
        <is>
          <t>≈ 300–1000 m (estimativa; rota não verificada)</t>
        </is>
      </c>
      <c r="V28" s="3" t="inlineStr">
        <is>
          <t>6–15 min (pode haver cliente em atendimento)</t>
        </is>
      </c>
      <c r="W28" s="3" t="inlineStr">
        <is>
          <t>9h–11h ou 14h–16h</t>
        </is>
      </c>
      <c r="X28" s="3" t="inlineStr">
        <is>
          <t>16:46</t>
        </is>
      </c>
      <c r="Y28" s="3" t="inlineStr">
        <is>
          <t>Não visitado</t>
        </is>
      </c>
      <c r="Z28" s="3" t="inlineStr"/>
      <c r="AA28" s="3" t="inlineStr"/>
      <c r="AB28" s="3" t="inlineStr">
        <is>
          <t>Confirmar existência e falar com o responsável</t>
        </is>
      </c>
    </row>
    <row r="29">
      <c r="A29" s="3" t="inlineStr">
        <is>
          <t>Quinta-feira, 29/10/2026</t>
        </is>
      </c>
      <c r="B29" s="3" t="n">
        <v>28</v>
      </c>
      <c r="C29" s="3" t="inlineStr">
        <is>
          <t>Animalandia Pet Shop</t>
        </is>
      </c>
      <c r="D29" s="3" t="inlineStr">
        <is>
          <t>Pet shop</t>
        </is>
      </c>
      <c r="E29" s="3" t="inlineStr">
        <is>
          <t>Av. da Paz, 2-84 (outra fonte: R. 5-A, Qd. 17, Lt. 04, esq. Av. União)</t>
        </is>
      </c>
      <c r="F29" s="3" t="inlineStr">
        <is>
          <t>Setor Garavelo</t>
        </is>
      </c>
      <c r="G29" s="3" t="inlineStr">
        <is>
          <t>Aparecida de Goiânia</t>
        </is>
      </c>
      <c r="H29" s="3" t="inlineStr">
        <is>
          <t>(62) 3288-6862</t>
        </is>
      </c>
      <c r="I29" s="3" t="inlineStr">
        <is>
          <t>Não verificada (Google Maps bloqueado no ambiente)</t>
        </is>
      </c>
      <c r="J29" s="3" t="inlineStr">
        <is>
          <t>Não verificada</t>
        </is>
      </c>
      <c r="K29" s="3" t="inlineStr">
        <is>
          <t>—</t>
        </is>
      </c>
      <c r="L29" s="3" t="inlineStr">
        <is>
          <t>não confirmado</t>
        </is>
      </c>
      <c r="M29" s="5" t="inlineStr">
        <is>
          <t>Abrir no Maps</t>
        </is>
      </c>
      <c r="N29" s="5" t="inlineStr">
        <is>
          <t>Rota a pé</t>
        </is>
      </c>
      <c r="O29" s="3" t="n">
        <v>82</v>
      </c>
      <c r="P29" s="3" t="inlineStr">
        <is>
          <t>Encaixe 31/35 · Decisor 18/20 · Evidência 13/20 · Balcão 9/10 · Rota 11/15</t>
        </is>
      </c>
      <c r="Q29" s="3" t="inlineStr">
        <is>
          <t>Pet shop de bairro.</t>
        </is>
      </c>
      <c r="R29" s="3" t="inlineStr">
        <is>
          <t>Média: diretório; endereço diverge</t>
        </is>
      </c>
      <c r="S29" s="3" t="inlineStr">
        <is>
          <t>https://petshoppertodemim.com/e/animalandia-pet-shop-atkiqw/</t>
        </is>
      </c>
      <c r="T29" s="3" t="inlineStr">
        <is>
          <t>≈ 1–7 min a pé (estimativa)</t>
        </is>
      </c>
      <c r="U29" s="3" t="inlineStr">
        <is>
          <t>≈ 100–500 m (estimativa; rota não verificada)</t>
        </is>
      </c>
      <c r="V29" s="3" t="inlineStr">
        <is>
          <t>6–12 min</t>
        </is>
      </c>
      <c r="W29" s="3" t="inlineStr">
        <is>
          <t>8h30–11h30 ou 14h–16h30</t>
        </is>
      </c>
      <c r="X29" s="3" t="inlineStr">
        <is>
          <t>17:02</t>
        </is>
      </c>
      <c r="Y29" s="3" t="inlineStr">
        <is>
          <t>Não visitado</t>
        </is>
      </c>
      <c r="Z29" s="3" t="inlineStr"/>
      <c r="AA29" s="3" t="inlineStr"/>
      <c r="AB29" s="3" t="inlineStr">
        <is>
          <t>Confirmar existência e falar com o responsável</t>
        </is>
      </c>
    </row>
    <row r="30">
      <c r="A30" s="3" t="inlineStr">
        <is>
          <t>Quinta-feira, 29/10/2026</t>
        </is>
      </c>
      <c r="B30" s="3" t="n">
        <v>29</v>
      </c>
      <c r="C30" s="3" t="inlineStr">
        <is>
          <t>AnimalClinic</t>
        </is>
      </c>
      <c r="D30" s="3" t="inlineStr">
        <is>
          <t>Clínica vet, banho e tosa, pet shop</t>
        </is>
      </c>
      <c r="E30" s="3" t="inlineStr">
        <is>
          <t>Av. da Paz (número não confirmado)</t>
        </is>
      </c>
      <c r="F30" s="3" t="inlineStr">
        <is>
          <t>Setor Garavelo</t>
        </is>
      </c>
      <c r="G30" s="3" t="inlineStr">
        <is>
          <t>Aparecida de Goiânia</t>
        </is>
      </c>
      <c r="H30" s="3" t="inlineStr">
        <is>
          <t>não confirmado</t>
        </is>
      </c>
      <c r="I30" s="3" t="inlineStr">
        <is>
          <t>Não verificada (Google Maps bloqueado no ambiente)</t>
        </is>
      </c>
      <c r="J30" s="3" t="inlineStr">
        <is>
          <t>Não verificada</t>
        </is>
      </c>
      <c r="K30" s="3" t="inlineStr">
        <is>
          <t>—</t>
        </is>
      </c>
      <c r="L30" s="3" t="inlineStr">
        <is>
          <t>não confirmado</t>
        </is>
      </c>
      <c r="M30" s="5" t="inlineStr">
        <is>
          <t>Abrir no Maps</t>
        </is>
      </c>
      <c r="N30" s="5" t="inlineStr">
        <is>
          <t>Rota a pé</t>
        </is>
      </c>
      <c r="O30" s="3" t="n">
        <v>77</v>
      </c>
      <c r="P30" s="3" t="inlineStr">
        <is>
          <t>Encaixe 31/35 · Decisor 18/20 · Evidência 8/20 · Balcão 9/10 · Rota 11/15</t>
        </is>
      </c>
      <c r="Q30" s="3" t="inlineStr">
        <is>
          <t>Clínica + pet: alto valor de reputação.</t>
        </is>
      </c>
      <c r="R30" s="3" t="inlineStr">
        <is>
          <t>Fraca: agregador</t>
        </is>
      </c>
      <c r="S30" s="3" t="inlineStr">
        <is>
          <t>https://setor-garavelo-go.mybrazilinfo.com/pet-store/</t>
        </is>
      </c>
      <c r="T30" s="3" t="inlineStr">
        <is>
          <t>≈ 1–7 min a pé (estimativa)</t>
        </is>
      </c>
      <c r="U30" s="3" t="inlineStr">
        <is>
          <t>≈ 100–500 m (estimativa; rota não verificada)</t>
        </is>
      </c>
      <c r="V30" s="3" t="inlineStr">
        <is>
          <t>6–12 min</t>
        </is>
      </c>
      <c r="W30" s="3" t="inlineStr">
        <is>
          <t>8h30–11h30 ou 14h–16h30</t>
        </is>
      </c>
      <c r="X30" s="3" t="inlineStr">
        <is>
          <t>17:18</t>
        </is>
      </c>
      <c r="Y30" s="3" t="inlineStr">
        <is>
          <t>Não visitado</t>
        </is>
      </c>
      <c r="Z30" s="3" t="inlineStr"/>
      <c r="AA30" s="3" t="inlineStr"/>
      <c r="AB30" s="3" t="inlineStr">
        <is>
          <t>Confirmar existência e falar com o responsável</t>
        </is>
      </c>
    </row>
    <row r="31">
      <c r="A31" s="3" t="inlineStr">
        <is>
          <t>Quinta-feira, 29/10/2026</t>
        </is>
      </c>
      <c r="B31" s="3" t="n">
        <v>30</v>
      </c>
      <c r="C31" s="3" t="inlineStr">
        <is>
          <t>Barbearia Don Navalha</t>
        </is>
      </c>
      <c r="D31" s="3" t="inlineStr">
        <is>
          <t>Barbearia</t>
        </is>
      </c>
      <c r="E31" s="3" t="inlineStr">
        <is>
          <t>Av. da Paz, CEP 74930-570</t>
        </is>
      </c>
      <c r="F31" s="3" t="inlineStr">
        <is>
          <t>Setor Garavelo</t>
        </is>
      </c>
      <c r="G31" s="3" t="inlineStr">
        <is>
          <t>Aparecida de Goiânia</t>
        </is>
      </c>
      <c r="H31" s="3" t="inlineStr">
        <is>
          <t>não confirmado</t>
        </is>
      </c>
      <c r="I31" s="3" t="inlineStr">
        <is>
          <t>Não verificada (Google Maps bloqueado no ambiente)</t>
        </is>
      </c>
      <c r="J31" s="3" t="inlineStr">
        <is>
          <t>Não verificada</t>
        </is>
      </c>
      <c r="K31" s="3" t="inlineStr">
        <is>
          <t>—</t>
        </is>
      </c>
      <c r="L31" s="3" t="inlineStr">
        <is>
          <t>não confirmado</t>
        </is>
      </c>
      <c r="M31" s="5" t="inlineStr">
        <is>
          <t>Abrir no Maps</t>
        </is>
      </c>
      <c r="N31" s="5" t="inlineStr">
        <is>
          <t>Rota a pé</t>
        </is>
      </c>
      <c r="O31" s="3" t="n">
        <v>80</v>
      </c>
      <c r="P31" s="3" t="inlineStr">
        <is>
          <t>Encaixe 34/35 · Decisor 18/20 · Evidência 8/20 · Balcão 9/10 · Rota 11/15</t>
        </is>
      </c>
      <c r="Q31" s="3" t="inlineStr">
        <is>
          <t>Barbearia; última visita antes do Uber.</t>
        </is>
      </c>
      <c r="R31" s="3" t="inlineStr">
        <is>
          <t>Fraca: cadastro CNPJ (Econodata)</t>
        </is>
      </c>
      <c r="S31" s="3" t="inlineStr">
        <is>
          <t>https://www.econodata.com.br/empresas/go-aparecida-de-goiania/busca-barbearia</t>
        </is>
      </c>
      <c r="T31" s="3" t="inlineStr">
        <is>
          <t>≈ 1–7 min a pé (estimativa)</t>
        </is>
      </c>
      <c r="U31" s="3" t="inlineStr">
        <is>
          <t>≈ 100–500 m (estimativa; rota não verificada)</t>
        </is>
      </c>
      <c r="V31" s="3" t="inlineStr">
        <is>
          <t>6–15 min (pode haver cliente na cadeira)</t>
        </is>
      </c>
      <c r="W31" s="3" t="inlineStr">
        <is>
          <t>9h–11h30 ou 14h–16h30</t>
        </is>
      </c>
      <c r="X31" s="3" t="inlineStr">
        <is>
          <t>17:34</t>
        </is>
      </c>
      <c r="Y31" s="3" t="inlineStr">
        <is>
          <t>Não visitado</t>
        </is>
      </c>
      <c r="Z31" s="3" t="inlineStr"/>
      <c r="AA31" s="3" t="inlineStr"/>
      <c r="AB31" s="3" t="inlineStr">
        <is>
          <t>Confirmar existência e falar com o responsável</t>
        </is>
      </c>
    </row>
  </sheetData>
  <dataValidations count="1">
    <dataValidation sqref="Y2:Y31" showDropDown="0" showInputMessage="0" showErrorMessage="0" allowBlank="1" type="list">
      <formula1>"Não visitado,Fechado / não existe mais,Dono ausente – material deixado,Apresentado – sem interesse,Interessado – retornar,Vendido,Recusou"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  <hyperlink xmlns:r="http://schemas.openxmlformats.org/officeDocument/2006/relationships" ref="M12" r:id="rId21"/>
    <hyperlink xmlns:r="http://schemas.openxmlformats.org/officeDocument/2006/relationships" ref="N12" r:id="rId22"/>
    <hyperlink xmlns:r="http://schemas.openxmlformats.org/officeDocument/2006/relationships" ref="M13" r:id="rId23"/>
    <hyperlink xmlns:r="http://schemas.openxmlformats.org/officeDocument/2006/relationships" ref="N13" r:id="rId24"/>
    <hyperlink xmlns:r="http://schemas.openxmlformats.org/officeDocument/2006/relationships" ref="M14" r:id="rId25"/>
    <hyperlink xmlns:r="http://schemas.openxmlformats.org/officeDocument/2006/relationships" ref="N14" r:id="rId26"/>
    <hyperlink xmlns:r="http://schemas.openxmlformats.org/officeDocument/2006/relationships" ref="M15" r:id="rId27"/>
    <hyperlink xmlns:r="http://schemas.openxmlformats.org/officeDocument/2006/relationships" ref="N15" r:id="rId28"/>
    <hyperlink xmlns:r="http://schemas.openxmlformats.org/officeDocument/2006/relationships" ref="M16" r:id="rId29"/>
    <hyperlink xmlns:r="http://schemas.openxmlformats.org/officeDocument/2006/relationships" ref="N16" r:id="rId30"/>
    <hyperlink xmlns:r="http://schemas.openxmlformats.org/officeDocument/2006/relationships" ref="M17" r:id="rId31"/>
    <hyperlink xmlns:r="http://schemas.openxmlformats.org/officeDocument/2006/relationships" ref="N17" r:id="rId32"/>
    <hyperlink xmlns:r="http://schemas.openxmlformats.org/officeDocument/2006/relationships" ref="M18" r:id="rId33"/>
    <hyperlink xmlns:r="http://schemas.openxmlformats.org/officeDocument/2006/relationships" ref="N18" r:id="rId34"/>
    <hyperlink xmlns:r="http://schemas.openxmlformats.org/officeDocument/2006/relationships" ref="M19" r:id="rId35"/>
    <hyperlink xmlns:r="http://schemas.openxmlformats.org/officeDocument/2006/relationships" ref="N19" r:id="rId36"/>
    <hyperlink xmlns:r="http://schemas.openxmlformats.org/officeDocument/2006/relationships" ref="M20" r:id="rId37"/>
    <hyperlink xmlns:r="http://schemas.openxmlformats.org/officeDocument/2006/relationships" ref="N20" r:id="rId38"/>
    <hyperlink xmlns:r="http://schemas.openxmlformats.org/officeDocument/2006/relationships" ref="M21" r:id="rId39"/>
    <hyperlink xmlns:r="http://schemas.openxmlformats.org/officeDocument/2006/relationships" ref="N21" r:id="rId40"/>
    <hyperlink xmlns:r="http://schemas.openxmlformats.org/officeDocument/2006/relationships" ref="M22" r:id="rId41"/>
    <hyperlink xmlns:r="http://schemas.openxmlformats.org/officeDocument/2006/relationships" ref="N22" r:id="rId42"/>
    <hyperlink xmlns:r="http://schemas.openxmlformats.org/officeDocument/2006/relationships" ref="M23" r:id="rId43"/>
    <hyperlink xmlns:r="http://schemas.openxmlformats.org/officeDocument/2006/relationships" ref="N23" r:id="rId44"/>
    <hyperlink xmlns:r="http://schemas.openxmlformats.org/officeDocument/2006/relationships" ref="M24" r:id="rId45"/>
    <hyperlink xmlns:r="http://schemas.openxmlformats.org/officeDocument/2006/relationships" ref="N24" r:id="rId46"/>
    <hyperlink xmlns:r="http://schemas.openxmlformats.org/officeDocument/2006/relationships" ref="M25" r:id="rId47"/>
    <hyperlink xmlns:r="http://schemas.openxmlformats.org/officeDocument/2006/relationships" ref="N25" r:id="rId48"/>
    <hyperlink xmlns:r="http://schemas.openxmlformats.org/officeDocument/2006/relationships" ref="M26" r:id="rId49"/>
    <hyperlink xmlns:r="http://schemas.openxmlformats.org/officeDocument/2006/relationships" ref="N26" r:id="rId50"/>
    <hyperlink xmlns:r="http://schemas.openxmlformats.org/officeDocument/2006/relationships" ref="M27" r:id="rId51"/>
    <hyperlink xmlns:r="http://schemas.openxmlformats.org/officeDocument/2006/relationships" ref="N27" r:id="rId52"/>
    <hyperlink xmlns:r="http://schemas.openxmlformats.org/officeDocument/2006/relationships" ref="M28" r:id="rId53"/>
    <hyperlink xmlns:r="http://schemas.openxmlformats.org/officeDocument/2006/relationships" ref="N28" r:id="rId54"/>
    <hyperlink xmlns:r="http://schemas.openxmlformats.org/officeDocument/2006/relationships" ref="M29" r:id="rId55"/>
    <hyperlink xmlns:r="http://schemas.openxmlformats.org/officeDocument/2006/relationships" ref="N29" r:id="rId56"/>
    <hyperlink xmlns:r="http://schemas.openxmlformats.org/officeDocument/2006/relationships" ref="M30" r:id="rId57"/>
    <hyperlink xmlns:r="http://schemas.openxmlformats.org/officeDocument/2006/relationships" ref="N30" r:id="rId58"/>
    <hyperlink xmlns:r="http://schemas.openxmlformats.org/officeDocument/2006/relationships" ref="M31" r:id="rId59"/>
    <hyperlink xmlns:r="http://schemas.openxmlformats.org/officeDocument/2006/relationships" ref="N31" r:id="rId6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4" customWidth="1" min="3" max="3"/>
    <col width="18" customWidth="1" min="4" max="4"/>
    <col width="40" customWidth="1" min="5" max="5"/>
    <col width="14" customWidth="1" min="6" max="6"/>
    <col width="50" customWidth="1" min="7" max="7"/>
  </cols>
  <sheetData>
    <row r="1">
      <c r="A1" s="6" t="inlineStr">
        <is>
          <t>Grupo</t>
        </is>
      </c>
      <c r="B1" s="6" t="inlineStr">
        <is>
          <t>Nome</t>
        </is>
      </c>
      <c r="C1" s="6" t="inlineStr">
        <is>
          <t>Endereço</t>
        </is>
      </c>
      <c r="D1" s="6" t="inlineStr">
        <is>
          <t>Telefone</t>
        </is>
      </c>
      <c r="E1" s="6" t="inlineStr">
        <is>
          <t>Observação</t>
        </is>
      </c>
      <c r="F1" s="6" t="inlineStr">
        <is>
          <t>Link Google Maps</t>
        </is>
      </c>
      <c r="G1" s="6" t="inlineStr">
        <is>
          <t>Fonte</t>
        </is>
      </c>
    </row>
    <row r="2">
      <c r="A2" s="3" t="inlineStr">
        <is>
          <t>Terça – substitutos próximos</t>
        </is>
      </c>
      <c r="B2" s="3" t="inlineStr">
        <is>
          <t>Elcinaldo Lima Maciel (cabeleireiro)</t>
        </is>
      </c>
      <c r="C2" s="3" t="inlineStr">
        <is>
          <t>Av. Alexandre de Morais, 31</t>
        </is>
      </c>
      <c r="D2" s="3" t="inlineStr">
        <is>
          <t>(62) 3584-2996</t>
        </is>
      </c>
      <c r="E2" s="3" t="inlineStr">
        <is>
          <t>nº 31 pode ficar na outra ponta da avenida</t>
        </is>
      </c>
      <c r="F2" s="5" t="inlineStr">
        <is>
          <t>Abrir no Maps</t>
        </is>
      </c>
      <c r="G2" s="3" t="inlineStr">
        <is>
          <t>https://www.guiatelefone.com/empresas/goiania-go/bairro/parque-amazonia/institutos-de-beleza/saloes-de-beleza-e-cabeleireiros</t>
        </is>
      </c>
    </row>
    <row r="3">
      <c r="A3" s="3" t="inlineStr">
        <is>
          <t>Terça – substitutos próximos</t>
        </is>
      </c>
      <c r="B3" s="3" t="inlineStr">
        <is>
          <t>Barbearia Philadelphia</t>
        </is>
      </c>
      <c r="C3" s="3" t="inlineStr">
        <is>
          <t>Av. Rio Negro (sem número)</t>
        </is>
      </c>
      <c r="D3" s="3" t="inlineStr">
        <is>
          <t>não confirmado</t>
        </is>
      </c>
      <c r="E3" s="3" t="inlineStr">
        <is>
          <t>citada em resultado de busca agregado; fonte primária não identificada</t>
        </is>
      </c>
      <c r="F3" s="5" t="inlineStr">
        <is>
          <t>Abrir no Maps</t>
        </is>
      </c>
      <c r="G3" s="3" t="inlineStr">
        <is>
          <t>https://guiafacil.com/encontre/pet-shop/goiania/go/bairro/parque-amazonia</t>
        </is>
      </c>
    </row>
    <row r="4">
      <c r="A4" s="3" t="inlineStr">
        <is>
          <t>Terça – substitutos próximos</t>
        </is>
      </c>
      <c r="B4" s="3" t="inlineStr">
        <is>
          <t>Egypt Barbearia</t>
        </is>
      </c>
      <c r="C4" s="3" t="inlineStr">
        <is>
          <t>Av. Dona Ana Nunes de Morais, 26, sala 04</t>
        </is>
      </c>
      <c r="D4" s="3" t="inlineStr">
        <is>
          <t>não confirmado</t>
        </is>
      </c>
      <c r="E4" s="3" t="inlineStr">
        <is>
          <t>listagem duplicada no diretório</t>
        </is>
      </c>
      <c r="F4" s="5" t="inlineStr">
        <is>
          <t>Abrir no Maps</t>
        </is>
      </c>
      <c r="G4" s="3" t="inlineStr">
        <is>
          <t>https://www.telelistas.net/go/goiania/em+parque+amazonia/cabeleireiros+e+institutos+de+beleza</t>
        </is>
      </c>
    </row>
    <row r="5">
      <c r="A5" s="3" t="inlineStr">
        <is>
          <t>Terça – substitutos próximos</t>
        </is>
      </c>
      <c r="B5" s="3" t="inlineStr">
        <is>
          <t>Sushi Loko</t>
        </is>
      </c>
      <c r="C5" s="3" t="inlineStr">
        <is>
          <t>Av. Rio Verde, 1, Vila São Tomaz (Aparecida)</t>
        </is>
      </c>
      <c r="D5" s="3" t="inlineStr">
        <is>
          <t>não confirmado</t>
        </is>
      </c>
      <c r="E5" s="3" t="inlineStr">
        <is>
          <t>do outro lado da Av. Rio Verde; fonte = diretório de endereços</t>
        </is>
      </c>
      <c r="F5" s="5" t="inlineStr">
        <is>
          <t>Abrir no Maps</t>
        </is>
      </c>
      <c r="G5" s="3" t="inlineStr">
        <is>
          <t>https://casadosdados.com.br/solucao/cep/go/aparecida-de-goiania/vila-sao-tomaz/avenida-rio-verde-sn-quadra-102-104-buriti-shopping-74915906</t>
        </is>
      </c>
    </row>
    <row r="6">
      <c r="A6" s="3" t="inlineStr">
        <is>
          <t>Quarta – substitutos próximos</t>
        </is>
      </c>
      <c r="B6" s="3" t="inlineStr">
        <is>
          <t>BAFO Lava Motos</t>
        </is>
      </c>
      <c r="C6" s="3" t="inlineStr">
        <is>
          <t>Av. Sen. José Rodrigues de Morais Neto (sem número)</t>
        </is>
      </c>
      <c r="D6" s="3" t="inlineStr">
        <is>
          <t>(62) 99404-3734</t>
        </is>
      </c>
      <c r="E6" s="3" t="inlineStr">
        <is>
          <t>nota 4,7 no diretório (origem não confirmada)</t>
        </is>
      </c>
      <c r="F6" s="5" t="inlineStr">
        <is>
          <t>Abrir no Maps</t>
        </is>
      </c>
      <c r="G6" s="3" t="inlineStr">
        <is>
          <t>https://www.benditoguia.com.br/empresa/bafo-lava-motos-parque-amazonia-goiania-go</t>
        </is>
      </c>
    </row>
    <row r="7">
      <c r="A7" s="3" t="inlineStr">
        <is>
          <t>Quarta – substitutos próximos</t>
        </is>
      </c>
      <c r="B7" s="3" t="inlineStr">
        <is>
          <t>Maria de Fátima Silva (salão)</t>
        </is>
      </c>
      <c r="C7" s="3" t="inlineStr">
        <is>
          <t>Av. T-15 (sem número)</t>
        </is>
      </c>
      <c r="D7" s="3" t="inlineStr">
        <is>
          <t>(62) 3095-3717</t>
        </is>
      </c>
      <c r="E7" s="3" t="inlineStr"/>
      <c r="F7" s="5" t="inlineStr">
        <is>
          <t>Abrir no Maps</t>
        </is>
      </c>
      <c r="G7" s="3" t="inlineStr">
        <is>
          <t>https://www.guiatelefone.com/empresas/goiania-go/bairro/parque-amazonia/institutos-de-beleza/saloes-de-beleza-e-cabeleireiros</t>
        </is>
      </c>
    </row>
    <row r="8">
      <c r="A8" s="3" t="inlineStr">
        <is>
          <t>Plano B Quinta (a pé, R$ 0) – leste do Parque Amazônia</t>
        </is>
      </c>
      <c r="B8" s="3" t="inlineStr">
        <is>
          <t>Barbearia dos Barbudos</t>
        </is>
      </c>
      <c r="C8" s="3" t="inlineStr">
        <is>
          <t>Av. Padre Orlando Morais, Qd. 108, Lt. 18</t>
        </is>
      </c>
      <c r="D8" s="3" t="inlineStr">
        <is>
          <t>não confirmado</t>
        </is>
      </c>
      <c r="E8" s="3" t="inlineStr">
        <is>
          <t>desde 2017 (diretório)</t>
        </is>
      </c>
      <c r="F8" s="5" t="inlineStr">
        <is>
          <t>Abrir no Maps</t>
        </is>
      </c>
      <c r="G8" s="3" t="inlineStr">
        <is>
          <t>https://barbeariaspertodemim.com/e/barbearia-dos-barbudos-aweqpw/</t>
        </is>
      </c>
    </row>
    <row r="9">
      <c r="A9" s="3" t="inlineStr">
        <is>
          <t>Plano B Quinta (a pé, R$ 0) – leste do Parque Amazônia</t>
        </is>
      </c>
      <c r="B9" s="3" t="inlineStr">
        <is>
          <t>Oficina AUTOP</t>
        </is>
      </c>
      <c r="C9" s="3" t="inlineStr">
        <is>
          <t>Av. Padre Orlando de Morais, 1975</t>
        </is>
      </c>
      <c r="D9" s="3" t="inlineStr">
        <is>
          <t>não confirmado</t>
        </is>
      </c>
      <c r="E9" s="3" t="inlineStr">
        <is>
          <t>rede de oficinas</t>
        </is>
      </c>
      <c r="F9" s="5" t="inlineStr">
        <is>
          <t>Abrir no Maps</t>
        </is>
      </c>
      <c r="G9" s="3" t="inlineStr">
        <is>
          <t>https://redeoficinas.com.br/site/oficina-autop/</t>
        </is>
      </c>
    </row>
    <row r="10">
      <c r="A10" s="3" t="inlineStr">
        <is>
          <t>Plano B Quinta (a pé, R$ 0) – leste do Parque Amazônia</t>
        </is>
      </c>
      <c r="B10" s="3" t="inlineStr">
        <is>
          <t>Stark CrossFit</t>
        </is>
      </c>
      <c r="C10" s="3" t="inlineStr">
        <is>
          <t>Av. Padre Orlando de Morais, Qd. 152, Lt. 03</t>
        </is>
      </c>
      <c r="D10" s="3" t="inlineStr">
        <is>
          <t>(62) 98145-3036</t>
        </is>
      </c>
      <c r="E10" s="3" t="inlineStr">
        <is>
          <t>Wellhub ativo</t>
        </is>
      </c>
      <c r="F10" s="5" t="inlineStr">
        <is>
          <t>Abrir no Maps</t>
        </is>
      </c>
      <c r="G10" s="3" t="inlineStr">
        <is>
          <t>https://wellhub.com/pt-br/search/partners/stark-crossfit-parque-amazonia/</t>
        </is>
      </c>
    </row>
    <row r="11">
      <c r="A11" s="3" t="inlineStr">
        <is>
          <t>Plano B Quinta (a pé, R$ 0) – leste do Parque Amazônia</t>
        </is>
      </c>
      <c r="B11" s="3" t="inlineStr">
        <is>
          <t>Óticas Brasil – Parque Amazônia (rede)</t>
        </is>
      </c>
      <c r="C11" s="3" t="inlineStr">
        <is>
          <t>Av. Padre Orlando de Morais, 2017, CEP 74843-200</t>
        </is>
      </c>
      <c r="D11" s="3" t="inlineStr">
        <is>
          <t>(62) 3773-1636</t>
        </is>
      </c>
      <c r="E11" s="3" t="inlineStr">
        <is>
          <t>rede: prioridade baixa</t>
        </is>
      </c>
      <c r="F11" s="5" t="inlineStr">
        <is>
          <t>Abrir no Maps</t>
        </is>
      </c>
      <c r="G11" s="3" t="inlineStr">
        <is>
          <t>https://www.oticasbrasil.com.br/p/lojas</t>
        </is>
      </c>
    </row>
    <row r="12">
      <c r="A12" s="3" t="inlineStr">
        <is>
          <t>Plano B Quinta (a pé, R$ 0) – leste do Parque Amazônia</t>
        </is>
      </c>
      <c r="B12" s="3" t="inlineStr">
        <is>
          <t>Tiu Patinhas (pet)</t>
        </is>
      </c>
      <c r="C12" s="3" t="inlineStr">
        <is>
          <t>Av. Antônio Fidélis, 887, Qd. 115, Lt. 01, Sala 01</t>
        </is>
      </c>
      <c r="D12" s="3" t="inlineStr">
        <is>
          <t>não confirmado</t>
        </is>
      </c>
      <c r="E12" s="3" t="inlineStr"/>
      <c r="F12" s="5" t="inlineStr">
        <is>
          <t>Abrir no Maps</t>
        </is>
      </c>
      <c r="G12" s="3" t="inlineStr">
        <is>
          <t>https://petshoppertodemim.com/e/tiu-patinhas-acoidi/</t>
        </is>
      </c>
    </row>
    <row r="13">
      <c r="A13" s="3" t="inlineStr">
        <is>
          <t>Plano B Quinta (a pé, R$ 0) – leste do Parque Amazônia</t>
        </is>
      </c>
      <c r="B13" s="3" t="inlineStr">
        <is>
          <t>Clínica Saúde Odontologia</t>
        </is>
      </c>
      <c r="C13" s="3" t="inlineStr">
        <is>
          <t>Av. Antônio Fidélis, Qd. 154, Lt. 07, CEP 74840-090</t>
        </is>
      </c>
      <c r="D13" s="3" t="inlineStr">
        <is>
          <t>(62) 98108-1101</t>
        </is>
      </c>
      <c r="E13" s="3" t="inlineStr"/>
      <c r="F13" s="5" t="inlineStr">
        <is>
          <t>Abrir no Maps</t>
        </is>
      </c>
      <c r="G13" s="3" t="inlineStr">
        <is>
          <t>https://cadeodentista.com.br/clinica/clinica-saude-odontologia-goiania-go</t>
        </is>
      </c>
    </row>
    <row r="14">
      <c r="A14" s="3" t="inlineStr">
        <is>
          <t>Plano B Quinta (a pé, R$ 0) – leste do Parque Amazônia</t>
        </is>
      </c>
      <c r="B14" s="3" t="inlineStr">
        <is>
          <t>NEO – Núcleo Especializado em Odontologia</t>
        </is>
      </c>
      <c r="C14" s="3" t="inlineStr">
        <is>
          <t>Av. Antônio Fidélis, 1005, Qd. 154, Lt. 10</t>
        </is>
      </c>
      <c r="D14" s="3" t="inlineStr">
        <is>
          <t>não confirmado</t>
        </is>
      </c>
      <c r="E14" s="3" t="inlineStr"/>
      <c r="F14" s="5" t="inlineStr">
        <is>
          <t>Abrir no Maps</t>
        </is>
      </c>
      <c r="G14" s="3" t="inlineStr">
        <is>
          <t>https://listatudo.com.br/parque-amazonia-goiania/hospitais-e-clinicas-medicina-e-saude/</t>
        </is>
      </c>
    </row>
    <row r="15">
      <c r="A15" s="3" t="inlineStr">
        <is>
          <t>Plano B Quinta (a pé, R$ 0) – leste do Parque Amazônia</t>
        </is>
      </c>
      <c r="B15" s="3" t="inlineStr">
        <is>
          <t>Grano Pane (padaria)</t>
        </is>
      </c>
      <c r="C15" s="3" t="inlineStr">
        <is>
          <t>Av. Antônio Fidélis (sem número)</t>
        </is>
      </c>
      <c r="D15" s="3" t="inlineStr">
        <is>
          <t>(62) 3932-5868</t>
        </is>
      </c>
      <c r="E15" s="3" t="inlineStr"/>
      <c r="F15" s="5" t="inlineStr">
        <is>
          <t>Abrir no Maps</t>
        </is>
      </c>
      <c r="G15" s="3" t="inlineStr">
        <is>
          <t>https://www.guiatelefone.com/empresas/goiania-go/bairro/parque-amazonia/lanches-e-salgados/padarias-e-confeitarias</t>
        </is>
      </c>
    </row>
    <row r="16">
      <c r="A16" s="3" t="inlineStr">
        <is>
          <t>Plano B Quinta (a pé, R$ 0) – leste do Parque Amazônia</t>
        </is>
      </c>
      <c r="B16" s="3" t="inlineStr">
        <is>
          <t>Saúde Animal Clínica Veterinária</t>
        </is>
      </c>
      <c r="C16" s="3" t="inlineStr">
        <is>
          <t>R. Montes Claros, 35, Qd. 109, Lt. 10, CEP 74840-650</t>
        </is>
      </c>
      <c r="D16" s="3" t="inlineStr">
        <is>
          <t>(62) 3945-8766</t>
        </is>
      </c>
      <c r="E16" s="3" t="inlineStr">
        <is>
          <t>horário diverge entre fontes (24h x seg-sex 9h-18h)</t>
        </is>
      </c>
      <c r="F16" s="5" t="inlineStr">
        <is>
          <t>Abrir no Maps</t>
        </is>
      </c>
      <c r="G16" s="3" t="inlineStr">
        <is>
          <t>https://www.benditoguia.com.br/empresa/saude-animal-clinica-veterinaria-parque-amazonia-goiania-go</t>
        </is>
      </c>
    </row>
    <row r="17">
      <c r="A17" s="3" t="inlineStr">
        <is>
          <t>Plano B Quinta (a pé, R$ 0) – leste do Parque Amazônia</t>
        </is>
      </c>
      <c r="B17" s="3" t="inlineStr">
        <is>
          <t>Planeta Pet</t>
        </is>
      </c>
      <c r="C17" s="3" t="inlineStr">
        <is>
          <t>Av. Dona Maria Cardoso, 365, Qd. 120, Lt. 01</t>
        </is>
      </c>
      <c r="D17" s="3" t="inlineStr">
        <is>
          <t>não confirmado</t>
        </is>
      </c>
      <c r="E17" s="3" t="inlineStr"/>
      <c r="F17" s="5" t="inlineStr">
        <is>
          <t>Abrir no Maps</t>
        </is>
      </c>
      <c r="G17" s="3" t="inlineStr">
        <is>
          <t>https://guiafacil.com/encontre/pet-shop/goiania/go/bairro/parque-amazonia</t>
        </is>
      </c>
    </row>
    <row r="18">
      <c r="A18" s="3" t="inlineStr">
        <is>
          <t>Plano B Quinta (a pé, R$ 0) – leste do Parque Amazônia</t>
        </is>
      </c>
      <c r="B18" s="3" t="inlineStr">
        <is>
          <t>DIASCAR Lava Jato</t>
        </is>
      </c>
      <c r="C18" s="3" t="inlineStr">
        <is>
          <t>Av. Dona Maria Cardoso, 901</t>
        </is>
      </c>
      <c r="D18" s="3" t="inlineStr">
        <is>
          <t>não confirmado</t>
        </is>
      </c>
      <c r="E18" s="3" t="inlineStr"/>
      <c r="F18" s="5" t="inlineStr">
        <is>
          <t>Abrir no Maps</t>
        </is>
      </c>
      <c r="G18" s="3" t="inlineStr">
        <is>
          <t>https://www.econodata.com.br/maiores-empresas/go-goiania/busca-lava-jato</t>
        </is>
      </c>
    </row>
    <row r="19">
      <c r="A19" s="3" t="inlineStr">
        <is>
          <t>Plano B Quinta (a pé, R$ 0) – leste do Parque Amazônia</t>
        </is>
      </c>
      <c r="B19" s="3" t="inlineStr">
        <is>
          <t>Amazônia Pet</t>
        </is>
      </c>
      <c r="C19" s="3" t="inlineStr">
        <is>
          <t>R. Manaus, Qd. 146, Lt. 19</t>
        </is>
      </c>
      <c r="D19" s="3" t="inlineStr">
        <is>
          <t>não confirmado</t>
        </is>
      </c>
      <c r="E19" s="3" t="inlineStr"/>
      <c r="F19" s="5" t="inlineStr">
        <is>
          <t>Abrir no Maps</t>
        </is>
      </c>
      <c r="G19" s="3" t="inlineStr">
        <is>
          <t>https://guiafacil.com/encontre/pet-shop/goiania/go/bairro/parque-amazonia</t>
        </is>
      </c>
    </row>
    <row r="20">
      <c r="A20" s="3" t="inlineStr">
        <is>
          <t>Plano B Quinta (a pé, R$ 0) – leste do Parque Amazônia</t>
        </is>
      </c>
      <c r="B20" s="3" t="inlineStr">
        <is>
          <t>Panificadora Amazônia</t>
        </is>
      </c>
      <c r="C20" s="3" t="inlineStr">
        <is>
          <t>R. Manaus, 286, Qd. 146, Lt. 11, CEP 74843-170</t>
        </is>
      </c>
      <c r="D20" s="3" t="inlineStr">
        <is>
          <t>não confirmado</t>
        </is>
      </c>
      <c r="E20" s="3" t="inlineStr"/>
      <c r="F20" s="5" t="inlineStr">
        <is>
          <t>Abrir no Maps</t>
        </is>
      </c>
      <c r="G20" s="3" t="inlineStr">
        <is>
          <t>https://applocal.com.br/empresa/panificadora-amazonia/goiania/go/11609258</t>
        </is>
      </c>
    </row>
    <row r="21">
      <c r="A21" s="3" t="inlineStr">
        <is>
          <t>Plano B Quinta (a pé, R$ 0) – leste do Parque Amazônia</t>
        </is>
      </c>
      <c r="B21" s="3" t="inlineStr">
        <is>
          <t>Doce Lar Pet Shop</t>
        </is>
      </c>
      <c r="C21" s="3" t="inlineStr">
        <is>
          <t>R. Córdoba, 246, Lt. 06</t>
        </is>
      </c>
      <c r="D21" s="3" t="inlineStr">
        <is>
          <t>não confirmado</t>
        </is>
      </c>
      <c r="E21" s="3" t="inlineStr"/>
      <c r="F21" s="5" t="inlineStr">
        <is>
          <t>Abrir no Maps</t>
        </is>
      </c>
      <c r="G21" s="3" t="inlineStr">
        <is>
          <t>https://guiafacil.com/encontre/pet-shop/goiania/go/bairro/parque-amazonia</t>
        </is>
      </c>
    </row>
    <row r="22">
      <c r="A22" s="3" t="inlineStr">
        <is>
          <t>Plano B Quinta (a pé, R$ 0) – leste do Parque Amazônia</t>
        </is>
      </c>
      <c r="B22" s="3" t="inlineStr">
        <is>
          <t>Consulta Pet</t>
        </is>
      </c>
      <c r="C22" s="3" t="inlineStr">
        <is>
          <t>R. Campos do Jordão, Qd. 101, Lt. 15</t>
        </is>
      </c>
      <c r="D22" s="3" t="inlineStr">
        <is>
          <t>não confirmado</t>
        </is>
      </c>
      <c r="E22" s="3" t="inlineStr"/>
      <c r="F22" s="5" t="inlineStr">
        <is>
          <t>Abrir no Maps</t>
        </is>
      </c>
      <c r="G22" s="3" t="inlineStr">
        <is>
          <t>https://guiafacil.com/encontre/pet-shop/goiania/go/bairro/parque-amazonia</t>
        </is>
      </c>
    </row>
    <row r="23">
      <c r="A23" s="3" t="inlineStr">
        <is>
          <t>Plano B Quinta (a pé, R$ 0) – leste do Parque Amazônia</t>
        </is>
      </c>
      <c r="B23" s="3" t="inlineStr">
        <is>
          <t>Cantinho dos Bolos</t>
        </is>
      </c>
      <c r="C23" s="3" t="inlineStr">
        <is>
          <t>R. Mossoró, Qd. 96, Lt. 09</t>
        </is>
      </c>
      <c r="D23" s="3" t="inlineStr">
        <is>
          <t>(62) 3085-2435</t>
        </is>
      </c>
      <c r="E23" s="3" t="inlineStr"/>
      <c r="F23" s="5" t="inlineStr">
        <is>
          <t>Abrir no Maps</t>
        </is>
      </c>
      <c r="G23" s="3" t="inlineStr">
        <is>
          <t>https://www.guiatelefone.com/empresas/goiania-go/bairro/parque-amazonia/lanches-e-salgados/padarias-e-confeitarias</t>
        </is>
      </c>
    </row>
    <row r="24">
      <c r="A24" s="3" t="inlineStr">
        <is>
          <t>Plano B Quinta (a pé, R$ 0) – leste do Parque Amazônia</t>
        </is>
      </c>
      <c r="B24" s="3" t="inlineStr">
        <is>
          <t>Multt Car Auto Mecânica</t>
        </is>
      </c>
      <c r="C24" s="3" t="inlineStr">
        <is>
          <t>R. Muiraquitã (sem número)</t>
        </is>
      </c>
      <c r="D24" s="3" t="inlineStr">
        <is>
          <t>(62) 3280-9119</t>
        </is>
      </c>
      <c r="E24" s="3" t="inlineStr"/>
      <c r="F24" s="5" t="inlineStr">
        <is>
          <t>Abrir no Maps</t>
        </is>
      </c>
      <c r="G24" s="3" t="inlineStr">
        <is>
          <t>https://www.enkontre.com.br/busca/goiania-go/restauracao-oficina-mecanica-lanternagem-e-pintura/setor/parque-amazonia</t>
        </is>
      </c>
    </row>
    <row r="25">
      <c r="A25" s="3" t="inlineStr">
        <is>
          <t>Plano B Quinta (a pé, R$ 0) – leste do Parque Amazônia</t>
        </is>
      </c>
      <c r="B25" s="3" t="inlineStr">
        <is>
          <t>Pit Stop Imports (mecânica)</t>
        </is>
      </c>
      <c r="C25" s="3" t="inlineStr">
        <is>
          <t>R. Tauari (sem número)</t>
        </is>
      </c>
      <c r="D25" s="3" t="inlineStr">
        <is>
          <t>(62) 3280-1177</t>
        </is>
      </c>
      <c r="E25" s="3" t="inlineStr"/>
      <c r="F25" s="5" t="inlineStr">
        <is>
          <t>Abrir no Maps</t>
        </is>
      </c>
      <c r="G25" s="3" t="inlineStr">
        <is>
          <t>https://www.enkontre.com.br/busca/goiania-go/restauracao-oficina-mecanica-lanternagem-e-pintura/setor/parque-amazonia</t>
        </is>
      </c>
    </row>
    <row r="26">
      <c r="A26" s="3" t="inlineStr">
        <is>
          <t>Quinta – substitutos em Garavelo</t>
        </is>
      </c>
      <c r="B26" s="3" t="inlineStr">
        <is>
          <t>Paraíso dos Cosméticos</t>
        </is>
      </c>
      <c r="C26" s="3" t="inlineStr">
        <is>
          <t>Setor Garavelo (endereço exato não confirmado)</t>
        </is>
      </c>
      <c r="D26" s="3" t="inlineStr">
        <is>
          <t>não confirmado</t>
        </is>
      </c>
      <c r="E26" s="3" t="inlineStr"/>
      <c r="F26" s="5" t="inlineStr">
        <is>
          <t>Abrir no Maps</t>
        </is>
      </c>
      <c r="G26" s="3" t="inlineStr">
        <is>
          <t>https://www.apontador.com.br/local/go/aparecida_de_goiania/cosmeticos/38J89J37/paraiso_dos_cosmeticos_s_garavelo.html</t>
        </is>
      </c>
    </row>
    <row r="27">
      <c r="A27" s="3" t="inlineStr">
        <is>
          <t>Quinta – substitutos em Garavelo</t>
        </is>
      </c>
      <c r="B27" s="3" t="inlineStr">
        <is>
          <t>Isodonto – Av. Igualdade (rede)</t>
        </is>
      </c>
      <c r="C27" s="3" t="inlineStr">
        <is>
          <t>Av. da Igualdade</t>
        </is>
      </c>
      <c r="D27" s="3" t="inlineStr">
        <is>
          <t>não confirmado</t>
        </is>
      </c>
      <c r="E27" s="3" t="inlineStr">
        <is>
          <t>rede</t>
        </is>
      </c>
      <c r="F27" s="5" t="inlineStr">
        <is>
          <t>Abrir no Maps</t>
        </is>
      </c>
      <c r="G27" s="3" t="inlineStr">
        <is>
          <t>https://setor-garavelo-go.mybrazilinfo.com/isodonto-avenida-igualdade/</t>
        </is>
      </c>
    </row>
    <row r="28">
      <c r="A28" s="3" t="inlineStr">
        <is>
          <t>Quinta – substitutos em Garavelo</t>
        </is>
      </c>
      <c r="B28" s="3" t="inlineStr">
        <is>
          <t>Allure Nails</t>
        </is>
      </c>
      <c r="C28" s="3" t="inlineStr">
        <is>
          <t>Garavelo Residencial Park</t>
        </is>
      </c>
      <c r="D28" s="3" t="inlineStr">
        <is>
          <t>Trinks</t>
        </is>
      </c>
      <c r="E28" s="3" t="inlineStr">
        <is>
          <t>fora da Av. Igualdade</t>
        </is>
      </c>
      <c r="F28" s="5" t="inlineStr">
        <is>
          <t>Abrir no Maps</t>
        </is>
      </c>
      <c r="G28" s="3" t="inlineStr">
        <is>
          <t>https://www.trinks.com/allure-nails-01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8" customWidth="1" min="3" max="3"/>
    <col width="30" customWidth="1" min="4" max="4"/>
    <col width="44" customWidth="1" min="5" max="5"/>
    <col width="10" customWidth="1" min="6" max="6"/>
    <col width="18" customWidth="1" min="7" max="7"/>
    <col width="16" customWidth="1" min="8" max="8"/>
    <col width="16" customWidth="1" min="9" max="9"/>
    <col width="12" customWidth="1" min="10" max="10"/>
    <col width="10" customWidth="1" min="11" max="11"/>
    <col width="40" customWidth="1" min="12" max="12"/>
  </cols>
  <sheetData>
    <row r="1">
      <c r="A1" s="2" t="inlineStr">
        <is>
          <t>Dia</t>
        </is>
      </c>
      <c r="B1" s="2" t="inlineStr">
        <is>
          <t>Trecho</t>
        </is>
      </c>
      <c r="C1" s="2" t="inlineStr">
        <is>
          <t>Origem</t>
        </is>
      </c>
      <c r="D1" s="2" t="inlineStr">
        <is>
          <t>Destino</t>
        </is>
      </c>
      <c r="E1" s="2" t="inlineStr">
        <is>
          <t>Por que vale a pena</t>
        </is>
      </c>
      <c r="F1" s="2" t="inlineStr">
        <is>
          <t>Empresas na região</t>
        </is>
      </c>
      <c r="G1" s="2" t="inlineStr">
        <is>
          <t>Distância</t>
        </is>
      </c>
      <c r="H1" s="2" t="inlineStr">
        <is>
          <t>Duração</t>
        </is>
      </c>
      <c r="I1" s="2" t="inlineStr">
        <is>
          <t>Faixa estimada (NÃO é cotação)</t>
        </is>
      </c>
      <c r="J1" s="2" t="inlineStr">
        <is>
          <t>Valor planejado (teto, R$)</t>
        </is>
      </c>
      <c r="K1" s="2" t="inlineStr">
        <is>
          <t>Link da rota</t>
        </is>
      </c>
      <c r="L1" s="2" t="inlineStr">
        <is>
          <t>Alternativa</t>
        </is>
      </c>
    </row>
    <row r="2">
      <c r="A2" s="3" t="inlineStr">
        <is>
          <t>Quinta 29/10</t>
        </is>
      </c>
      <c r="B2" s="3" t="inlineStr">
        <is>
          <t>Ida</t>
        </is>
      </c>
      <c r="C2" s="3" t="inlineStr">
        <is>
          <t>Ponto de partida (Parque Amazônia)</t>
        </is>
      </c>
      <c r="D2" s="3" t="inlineStr">
        <is>
          <t>Av. da Igualdade, 100 – Setor Garavelo (Aparecida)</t>
        </is>
      </c>
      <c r="E2" s="3" t="inlineStr">
        <is>
          <t>Maior polo varejista de Aparecida (mais de 600 empresas em ~2 km, segundo a prefeitura citada pela imprensa local); 30 visitas listadas no mesmo eixo</t>
        </is>
      </c>
      <c r="F2" s="3" t="n">
        <v>30</v>
      </c>
      <c r="G2" s="3" t="inlineStr">
        <is>
          <t>≈ 5–8 km (não verificado)</t>
        </is>
      </c>
      <c r="H2" s="3" t="inlineStr">
        <is>
          <t>≈ 15–25 min (não verificado)</t>
        </is>
      </c>
      <c r="I2" s="3" t="inlineStr">
        <is>
          <t>R$ 15–25</t>
        </is>
      </c>
      <c r="J2" s="3" t="n">
        <v>25</v>
      </c>
      <c r="K2" s="5" t="inlineStr">
        <is>
          <t>Abrir rota</t>
        </is>
      </c>
      <c r="L2" s="3" t="inlineStr">
        <is>
          <t>Ônibus: o Moovit indica as linhas 022, 031 e 035 perto do Setor Garavelo; confira no app a ligação a partir do Parque Amazônia e a tarifa vigente</t>
        </is>
      </c>
    </row>
    <row r="3">
      <c r="A3" s="3" t="inlineStr">
        <is>
          <t>Quinta 29/10</t>
        </is>
      </c>
      <c r="B3" s="3" t="inlineStr">
        <is>
          <t>Volta</t>
        </is>
      </c>
      <c r="C3" s="3" t="inlineStr">
        <is>
          <t>Av. da Paz / Av. da Igualdade – Setor Garavelo</t>
        </is>
      </c>
      <c r="D3" s="3" t="inlineStr">
        <is>
          <t>Ponto de partida (Parque Amazônia)</t>
        </is>
      </c>
      <c r="E3" s="3" t="inlineStr">
        <is>
          <t>Retorno no fim do dia (17h30–18h; horário de pico pode ter tarifa dinâmica)</t>
        </is>
      </c>
      <c r="F3" s="3" t="n">
        <v>0</v>
      </c>
      <c r="G3" s="3" t="inlineStr">
        <is>
          <t>≈ 5–8 km (não verificado)</t>
        </is>
      </c>
      <c r="H3" s="3" t="inlineStr">
        <is>
          <t>≈ 15–30 min (pico)</t>
        </is>
      </c>
      <c r="I3" s="3" t="inlineStr">
        <is>
          <t>R$ 15–25</t>
        </is>
      </c>
      <c r="J3" s="3" t="n">
        <v>25</v>
      </c>
      <c r="K3" s="5" t="inlineStr">
        <is>
          <t>Abrir rota</t>
        </is>
      </c>
      <c r="L3" s="3" t="inlineStr">
        <is>
          <t>Mesmo ônibus; ou esperar 15–20 min se a dinâmica estiver alta</t>
        </is>
      </c>
    </row>
    <row r="4">
      <c r="A4" s="3" t="inlineStr">
        <is>
          <t>Quarta 28/10</t>
        </is>
      </c>
      <c r="B4" s="3" t="inlineStr">
        <is>
          <t>Volta (opcional – reserva)</t>
        </is>
      </c>
      <c r="C4" s="3" t="inlineStr">
        <is>
          <t>Praça da Feira (Parque Amazônia)</t>
        </is>
      </c>
      <c r="D4" s="3" t="inlineStr">
        <is>
          <t>Ponto de partida</t>
        </is>
      </c>
      <c r="E4" s="3" t="inlineStr">
        <is>
          <t>Só se estiver cansado ou chovendo no fim do dia; o trajeto é caminhável</t>
        </is>
      </c>
      <c r="F4" s="3" t="n">
        <v>0</v>
      </c>
      <c r="G4" s="3" t="inlineStr">
        <is>
          <t>≈ 1–2 km (não verificado)</t>
        </is>
      </c>
      <c r="H4" s="3" t="inlineStr">
        <is>
          <t>≈ 5–8 min</t>
        </is>
      </c>
      <c r="I4" s="3" t="inlineStr">
        <is>
          <t>R$ 7–12</t>
        </is>
      </c>
      <c r="J4" s="3" t="n">
        <v>0</v>
      </c>
      <c r="K4" s="5" t="inlineStr">
        <is>
          <t>Abrir rota</t>
        </is>
      </c>
      <c r="L4" s="3" t="inlineStr">
        <is>
          <t>A pé (≈ 15–25 min, estimado)</t>
        </is>
      </c>
    </row>
    <row r="6">
      <c r="A6" s="4" t="inlineStr">
        <is>
          <t>Subtotal Terça</t>
        </is>
      </c>
      <c r="J6" t="n">
        <v>0</v>
      </c>
    </row>
    <row r="7">
      <c r="A7" s="4" t="inlineStr">
        <is>
          <t>Subtotal Quarta</t>
        </is>
      </c>
      <c r="J7">
        <f>SUMIF(A2:A4,"Quarta 28/10",J2:J4)</f>
        <v/>
      </c>
    </row>
    <row r="8">
      <c r="A8" s="4" t="inlineStr">
        <is>
          <t>Subtotal Quinta</t>
        </is>
      </c>
      <c r="J8">
        <f>SUMIF(A2:A4,"Quinta 29/10",J2:J4)</f>
        <v/>
      </c>
    </row>
    <row r="9">
      <c r="A9" s="4" t="inlineStr">
        <is>
          <t>Total planejado 3 dias</t>
        </is>
      </c>
      <c r="J9">
        <f>SUM(J6:J8)</f>
        <v/>
      </c>
    </row>
    <row r="10">
      <c r="A10" s="4" t="inlineStr">
        <is>
          <t>Reserva (variação de preço / chuva)</t>
        </is>
      </c>
      <c r="J10">
        <f>80-J9</f>
        <v/>
      </c>
    </row>
    <row r="11">
      <c r="A11" s="4" t="inlineStr">
        <is>
          <t>Teto do orçamento</t>
        </is>
      </c>
      <c r="J11" t="n">
        <v>80</v>
      </c>
    </row>
    <row r="13">
      <c r="A13" s="4" t="inlineStr">
        <is>
          <t>Gasto REAL (preencha)</t>
        </is>
      </c>
    </row>
    <row r="14">
      <c r="A14" s="4" t="inlineStr">
        <is>
          <t>Saldo real</t>
        </is>
      </c>
      <c r="J14">
        <f>80-J13</f>
        <v/>
      </c>
    </row>
    <row r="16" ht="45" customHeight="1">
      <c r="A16" s="3" t="inlineStr">
        <is>
          <t>Base da estimativa: tarifa publicada pela Uber em 2017 para Aparecida (R$ 2,00 + R$ 1,10/km + R$ 0,11/min, mínimo R$ 6) → ≈ R$ 11–14 para 6–8 km; ajustada pela média divulgada pela Uber para Goiânia (viagem de 16 min ≈ R$ 18) e margem para tarifa dinâmica. Não há cotação em tempo real neste ambiente.</t>
        </is>
      </c>
    </row>
  </sheetData>
  <mergeCells count="1">
    <mergeCell ref="A16:L16"/>
  </mergeCell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6" t="inlineStr">
        <is>
          <t>Chave</t>
        </is>
      </c>
      <c r="B1" s="6" t="inlineStr">
        <is>
          <t>URL</t>
        </is>
      </c>
    </row>
    <row r="2">
      <c r="A2" t="inlineStr">
        <is>
          <t>vintage_site</t>
        </is>
      </c>
      <c r="B2" s="7" t="inlineStr">
        <is>
          <t>https://vintagebarbeariapub.com.br/</t>
        </is>
      </c>
    </row>
    <row r="3">
      <c r="A3" t="inlineStr">
        <is>
          <t>vintage_trinks</t>
        </is>
      </c>
      <c r="B3" s="7" t="inlineStr">
        <is>
          <t>https://www.trinks.com/vintage-barbearia-pub</t>
        </is>
      </c>
    </row>
    <row r="4">
      <c r="A4" t="inlineStr">
        <is>
          <t>agro_guiamais</t>
        </is>
      </c>
      <c r="B4" s="7" t="inlineStr">
        <is>
          <t>https://www.guiamais.com.br/goiania-go/servicos-para-animais/pet-shop/12126917-11/agrobessa-pet-shop</t>
        </is>
      </c>
    </row>
    <row r="5">
      <c r="A5" t="inlineStr">
        <is>
          <t>agro_apontador</t>
        </is>
      </c>
      <c r="B5" s="7" t="inlineStr">
        <is>
          <t>https://www.apontador.com.br/local/go/goiania/pet_shops/98J65Y94/agrobessa.html</t>
        </is>
      </c>
    </row>
    <row r="6">
      <c r="A6" t="inlineStr">
        <is>
          <t>agro_telelistas</t>
        </is>
      </c>
      <c r="B6" s="7" t="inlineStr">
        <is>
          <t>https://www.telelistas.net/locais/go/goiania/pet+shops/bu-3625753/agrobessa+em+parque+amazonia</t>
        </is>
      </c>
    </row>
    <row r="7">
      <c r="A7" t="inlineStr">
        <is>
          <t>desfihas_wb</t>
        </is>
      </c>
      <c r="B7" s="7" t="inlineStr">
        <is>
          <t>https://wanderboat.ai/restaurants/brazil/regi%C3%A3o-geogr%C3%A1fica-imediata-de-goi%C3%A2nia/d'esfihas---parque-amaz%C3%B4nia/ZEMHLXJPSkK3HZKLYmR34A</t>
        </is>
      </c>
    </row>
    <row r="8">
      <c r="A8" t="inlineStr">
        <is>
          <t>jopcao2017</t>
        </is>
      </c>
      <c r="B8" s="7" t="inlineStr">
        <is>
          <t>https://www.jornalopcao.com.br/ultimas-noticias/avenida-no-parque-amazonia-e-opcao-gastronomica-para-fugir-da-mesmice-veja-o-que-fazer-112549/</t>
        </is>
      </c>
    </row>
    <row r="9">
      <c r="A9" t="inlineStr">
        <is>
          <t>telelistas_beleza</t>
        </is>
      </c>
      <c r="B9" s="7" t="inlineStr">
        <is>
          <t>https://www.telelistas.net/go/goiania/em+parque+amazonia/cabeleireiros+e+institutos+de+beleza</t>
        </is>
      </c>
    </row>
    <row r="10">
      <c r="A10" t="inlineStr">
        <is>
          <t>pinzon_manicure</t>
        </is>
      </c>
      <c r="B10" s="7" t="inlineStr">
        <is>
          <t>https://guiapinzon.com.br/go/goiania/parque-amazonia/manicure-em-parque-amazonia</t>
        </is>
      </c>
    </row>
    <row r="11">
      <c r="A11" t="inlineStr">
        <is>
          <t>gt_saloes</t>
        </is>
      </c>
      <c r="B11" s="7" t="inlineStr">
        <is>
          <t>https://www.guiatelefone.com/empresas/goiania-go/bairro/parque-amazonia/institutos-de-beleza/saloes-de-beleza-e-cabeleireiros</t>
        </is>
      </c>
    </row>
    <row r="12">
      <c r="A12" t="inlineStr">
        <is>
          <t>evs_pertodemim</t>
        </is>
      </c>
      <c r="B12" s="7" t="inlineStr">
        <is>
          <t>https://salaodebelezaspertodemim.com/e/e-v-s-salao-de-beleza-hair-and-make-up-ceuvdc/</t>
        </is>
      </c>
    </row>
    <row r="13">
      <c r="A13" t="inlineStr">
        <is>
          <t>cachos_trinks</t>
        </is>
      </c>
      <c r="B13" s="7" t="inlineStr">
        <is>
          <t>https://www.trinks.com/cachos-brasil-goiania</t>
        </is>
      </c>
    </row>
    <row r="14">
      <c r="A14" t="inlineStr">
        <is>
          <t>diariocidade_saloes_apg</t>
        </is>
      </c>
      <c r="B14" s="7" t="inlineStr">
        <is>
          <t>https://www.diariocidade.com/go/aparecida-de-goiania/guia/saloes-de-beleza/</t>
        </is>
      </c>
    </row>
    <row r="15">
      <c r="A15" t="inlineStr">
        <is>
          <t>ohoje_burger</t>
        </is>
      </c>
      <c r="B15" s="7" t="inlineStr">
        <is>
          <t>https://ohoje.com/2022/09/20/hamburguerias-em-goiania-que-voce-precisa-conhecer/</t>
        </is>
      </c>
    </row>
    <row r="16">
      <c r="A16" t="inlineStr">
        <is>
          <t>maisgoias_burger</t>
        </is>
      </c>
      <c r="B16" s="7" t="inlineStr">
        <is>
          <t>https://www.maisgoias.com.br/divirta-se/hamburguerias-em-goiania-pra-quem-nao-dispensa-um-lanche-caprichado/</t>
        </is>
      </c>
    </row>
    <row r="17">
      <c r="A17" t="inlineStr">
        <is>
          <t>tapajos</t>
        </is>
      </c>
      <c r="B17" s="7" t="inlineStr">
        <is>
          <t>https://tapajosengenharia.com.br/descubra-parque-amazonia/</t>
        </is>
      </c>
    </row>
    <row r="18">
      <c r="A18" t="inlineStr">
        <is>
          <t>emporio_apontador</t>
        </is>
      </c>
      <c r="B18" s="7" t="inlineStr">
        <is>
          <t>https://www.apontador.com.br/local/go/goiania/pizzarias/4AGVDQW8/pizzaria_emporio_da_pizza_parque_amazonia.html</t>
        </is>
      </c>
    </row>
    <row r="19">
      <c r="A19" t="inlineStr">
        <is>
          <t>tiopizza_gt</t>
        </is>
      </c>
      <c r="B19" s="7" t="inlineStr">
        <is>
          <t>https://www.guiatelefone.com/goiania-go/restaurantes/581241/tio-pizzas</t>
        </is>
      </c>
    </row>
    <row r="20">
      <c r="A20" t="inlineStr">
        <is>
          <t>gt_restaurantes</t>
        </is>
      </c>
      <c r="B20" s="7" t="inlineStr">
        <is>
          <t>https://www.guiatelefone.com/empresas/goiania-go/bairro/parque-amazonia/restaurantes/restaurante</t>
        </is>
      </c>
    </row>
    <row r="21">
      <c r="A21" t="inlineStr">
        <is>
          <t>apontador_bares</t>
        </is>
      </c>
      <c r="B21" s="7" t="inlineStr">
        <is>
          <t>https://www.apontador.com.br/em/parque-amazonia-goiania-go/bares-e-restaurantes</t>
        </is>
      </c>
    </row>
    <row r="22">
      <c r="A22" t="inlineStr">
        <is>
          <t>jantinhas_maisgoias</t>
        </is>
      </c>
      <c r="B22" s="7" t="inlineStr">
        <is>
          <t>https://www.maisgoias.com.br/divirta-se/gastronomia/jantinha-mobiliza-mais-de-4-mil-comentarios-e-rende-nova-lista-com-12-lugares/</t>
        </is>
      </c>
    </row>
    <row r="23">
      <c r="A23" t="inlineStr">
        <is>
          <t>jantinhas_tripadvisor</t>
        </is>
      </c>
      <c r="B23" s="7" t="inlineStr">
        <is>
          <t>https://www.tripadvisor.com/Restaurant_Review-g303324-d5336200-Reviews-Jantinhas_Grill-Goiania_State_of_Goias.html</t>
        </is>
      </c>
    </row>
    <row r="24">
      <c r="A24" t="inlineStr">
        <is>
          <t>jantinhas_curtamais</t>
        </is>
      </c>
      <c r="B24" s="7" t="inlineStr">
        <is>
          <t>https://curtamais.com.br/goiania/omelhordacidade/jantinhas-grill/</t>
        </is>
      </c>
    </row>
    <row r="25">
      <c r="A25" t="inlineStr">
        <is>
          <t>fidfacil_acai</t>
        </is>
      </c>
      <c r="B25" s="7" t="inlineStr">
        <is>
          <t>https://www.fidfacil.com.br/lista/goiania-go/lojas/acai-sorvete</t>
        </is>
      </c>
    </row>
    <row r="26">
      <c r="A26" t="inlineStr">
        <is>
          <t>gt_padarias</t>
        </is>
      </c>
      <c r="B26" s="7" t="inlineStr">
        <is>
          <t>https://www.guiatelefone.com/empresas/goiania-go/bairro/parque-amazonia/lanches-e-salgados/padarias-e-confeitarias</t>
        </is>
      </c>
    </row>
    <row r="27">
      <c r="A27" t="inlineStr">
        <is>
          <t>panif_amazonia</t>
        </is>
      </c>
      <c r="B27" s="7" t="inlineStr">
        <is>
          <t>https://applocal.com.br/empresa/panificadora-amazonia/goiania/go/11609258</t>
        </is>
      </c>
    </row>
    <row r="28">
      <c r="A28" t="inlineStr">
        <is>
          <t>guiafacil_pet</t>
        </is>
      </c>
      <c r="B28" s="7" t="inlineStr">
        <is>
          <t>https://guiafacil.com/encontre/pet-shop/goiania/go/bairro/parque-amazonia</t>
        </is>
      </c>
    </row>
    <row r="29">
      <c r="A29" t="inlineStr">
        <is>
          <t>gt_pet</t>
        </is>
      </c>
      <c r="B29" s="7" t="inlineStr">
        <is>
          <t>https://www.guiatelefone.com/empresas/goiania-go/bairro/parque-amazonia/servicos-para-animais/pet-shop</t>
        </is>
      </c>
    </row>
    <row r="30">
      <c r="A30" t="inlineStr">
        <is>
          <t>tiupatinhas</t>
        </is>
      </c>
      <c r="B30" s="7" t="inlineStr">
        <is>
          <t>https://petshoppertodemim.com/e/tiu-patinhas-acoidi/</t>
        </is>
      </c>
    </row>
    <row r="31">
      <c r="A31" t="inlineStr">
        <is>
          <t>saudeanimal_ptdm</t>
        </is>
      </c>
      <c r="B31" s="7" t="inlineStr">
        <is>
          <t>https://petshoppertodemim.com/e/saude-animal-znvvm/</t>
        </is>
      </c>
    </row>
    <row r="32">
      <c r="A32" t="inlineStr">
        <is>
          <t>saudeanimal_bendito</t>
        </is>
      </c>
      <c r="B32" s="7" t="inlineStr">
        <is>
          <t>https://www.benditoguia.com.br/empresa/saude-animal-clinica-veterinaria-parque-amazonia-goiania-go</t>
        </is>
      </c>
    </row>
    <row r="33">
      <c r="A33" t="inlineStr">
        <is>
          <t>gopet</t>
        </is>
      </c>
      <c r="B33" s="7" t="inlineStr">
        <is>
          <t>https://banhoetosapetpertodemim.com/e/go-pet-myytw/</t>
        </is>
      </c>
    </row>
    <row r="34">
      <c r="A34" t="inlineStr">
        <is>
          <t>barbudos</t>
        </is>
      </c>
      <c r="B34" s="7" t="inlineStr">
        <is>
          <t>https://barbeariaspertodemim.com/e/barbearia-dos-barbudos-aweqpw/</t>
        </is>
      </c>
    </row>
    <row r="35">
      <c r="A35" t="inlineStr">
        <is>
          <t>mundobichos</t>
        </is>
      </c>
      <c r="B35" s="7" t="inlineStr">
        <is>
          <t>https://ranklevel.com.br/empresa/goiania/mundo-dos-bichos-clinica-veterinaria-e-pet-shop/</t>
        </is>
      </c>
    </row>
    <row r="36">
      <c r="A36" t="inlineStr">
        <is>
          <t>bicholegal</t>
        </is>
      </c>
      <c r="B36" s="7" t="inlineStr">
        <is>
          <t>https://www.benditoguia.com.br/empresa/bicho-legal-clinica-veterinaria-petshop-parque-amazonia-goiania-go</t>
        </is>
      </c>
    </row>
    <row r="37">
      <c r="A37" t="inlineStr">
        <is>
          <t>autop</t>
        </is>
      </c>
      <c r="B37" s="7" t="inlineStr">
        <is>
          <t>https://redeoficinas.com.br/site/oficina-autop/</t>
        </is>
      </c>
    </row>
    <row r="38">
      <c r="A38" t="inlineStr">
        <is>
          <t>enkontre_oficinas</t>
        </is>
      </c>
      <c r="B38" s="7" t="inlineStr">
        <is>
          <t>https://www.enkontre.com.br/busca/goiania-go/restauracao-oficina-mecanica-lanternagem-e-pintura/setor/parque-amazonia</t>
        </is>
      </c>
    </row>
    <row r="39">
      <c r="A39" t="inlineStr">
        <is>
          <t>econodata_lavajato</t>
        </is>
      </c>
      <c r="B39" s="7" t="inlineStr">
        <is>
          <t>https://www.econodata.com.br/maiores-empresas/go-goiania/busca-lava-jato</t>
        </is>
      </c>
    </row>
    <row r="40">
      <c r="A40" t="inlineStr">
        <is>
          <t>bafo</t>
        </is>
      </c>
      <c r="B40" s="7" t="inlineStr">
        <is>
          <t>https://www.benditoguia.com.br/empresa/bafo-lava-motos-parque-amazonia-goiania-go</t>
        </is>
      </c>
    </row>
    <row r="41">
      <c r="A41" t="inlineStr">
        <is>
          <t>panobianco</t>
        </is>
      </c>
      <c r="B41" s="7" t="inlineStr">
        <is>
          <t>https://www.panobiancoparqueamazonia.com.br/</t>
        </is>
      </c>
    </row>
    <row r="42">
      <c r="A42" t="inlineStr">
        <is>
          <t>athos_wellhub</t>
        </is>
      </c>
      <c r="B42" s="7" t="inlineStr">
        <is>
          <t>https://wellhub.com/pt-br/search/partners/athos-academia--3/</t>
        </is>
      </c>
    </row>
    <row r="43">
      <c r="A43" t="inlineStr">
        <is>
          <t>stark_wellhub</t>
        </is>
      </c>
      <c r="B43" s="7" t="inlineStr">
        <is>
          <t>https://wellhub.com/pt-br/search/partners/stark-crossfit-parque-amazonia/</t>
        </is>
      </c>
    </row>
    <row r="44">
      <c r="A44" t="inlineStr">
        <is>
          <t>play_wellhub</t>
        </is>
      </c>
      <c r="B44" s="7" t="inlineStr">
        <is>
          <t>https://wellhub.com/pt-br/search/partners/play-fitness-parque-amazonia-goiania/</t>
        </is>
      </c>
    </row>
    <row r="45">
      <c r="A45" t="inlineStr">
        <is>
          <t>navi</t>
        </is>
      </c>
      <c r="B45" s="7" t="inlineStr">
        <is>
          <t>https://navi.fitness/</t>
        </is>
      </c>
    </row>
    <row r="46">
      <c r="A46" t="inlineStr">
        <is>
          <t>carpediem</t>
        </is>
      </c>
      <c r="B46" s="7" t="inlineStr">
        <is>
          <t>https://www.benditoguia.com.br/empresa/carpe-diem-studio-pilates-e-crossfit-parque-amazonia-goiania-go</t>
        </is>
      </c>
    </row>
    <row r="47">
      <c r="A47" t="inlineStr">
        <is>
          <t>odonto_saude</t>
        </is>
      </c>
      <c r="B47" s="7" t="inlineStr">
        <is>
          <t>https://cadeodentista.com.br/clinica/clinica-saude-odontologia-goiania-go</t>
        </is>
      </c>
    </row>
    <row r="48">
      <c r="A48" t="inlineStr">
        <is>
          <t>odonto_amazonas_dentmap</t>
        </is>
      </c>
      <c r="B48" s="7" t="inlineStr">
        <is>
          <t>https://dentmap.com.br/dentistas/goiania/odonto-amazonas-8437a1a3</t>
        </is>
      </c>
    </row>
    <row r="49">
      <c r="A49" t="inlineStr">
        <is>
          <t>tudoaquisaude</t>
        </is>
      </c>
      <c r="B49" s="7" t="inlineStr">
        <is>
          <t>https://www.tudoaquisaude.com.br/goiania-go/parque-amazonia/medicos-e-clinicas</t>
        </is>
      </c>
    </row>
    <row r="50">
      <c r="A50" t="inlineStr">
        <is>
          <t>infoisinfo_odonto</t>
        </is>
      </c>
      <c r="B50" s="7" t="inlineStr">
        <is>
          <t>https://goiania.infoisinfo-br.com/busca/clinica-odontologica</t>
        </is>
      </c>
    </row>
    <row r="51">
      <c r="A51" t="inlineStr">
        <is>
          <t>oticasbrasil</t>
        </is>
      </c>
      <c r="B51" s="7" t="inlineStr">
        <is>
          <t>https://www.oticasbrasil.com.br/p/lojas</t>
        </is>
      </c>
    </row>
    <row r="52">
      <c r="A52" t="inlineStr">
        <is>
          <t>infoisinfo_lojas</t>
        </is>
      </c>
      <c r="B52" s="7" t="inlineStr">
        <is>
          <t>https://goiania.infoisinfo-br.com/busca/lojas-roupas-e-outros</t>
        </is>
      </c>
    </row>
    <row r="53">
      <c r="A53" t="inlineStr">
        <is>
          <t>diariocidade_lojas</t>
        </is>
      </c>
      <c r="B53" s="7" t="inlineStr">
        <is>
          <t>https://www.diariocidade.com/go/goiania/guia/lojas-de-roupas/pg-69/</t>
        </is>
      </c>
    </row>
    <row r="54">
      <c r="A54" t="inlineStr">
        <is>
          <t>comercialcarlos</t>
        </is>
      </c>
      <c r="B54" s="7" t="inlineStr">
        <is>
          <t>https://www.benditoguia.com.br/empresa/comercial-carlos-parque-amazonia-goiania-go</t>
        </is>
      </c>
    </row>
    <row r="55">
      <c r="A55" t="inlineStr">
        <is>
          <t>vicentt_ig</t>
        </is>
      </c>
      <c r="B55" s="7" t="inlineStr">
        <is>
          <t>https://www.instagram.com/vicenttbarbearia/</t>
        </is>
      </c>
    </row>
    <row r="56">
      <c r="A56" t="inlineStr">
        <is>
          <t>vicentt_trinks</t>
        </is>
      </c>
      <c r="B56" s="7" t="inlineStr">
        <is>
          <t>https://www.trinks.com/vicentt-barbearia-1</t>
        </is>
      </c>
    </row>
    <row r="57">
      <c r="A57" t="inlineStr">
        <is>
          <t>guzz_booksy</t>
        </is>
      </c>
      <c r="B57" s="7" t="inlineStr">
        <is>
          <t>https://booksy.com/pt-br/140369_guzz-barbearia_barbearias_392563_goiania</t>
        </is>
      </c>
    </row>
    <row r="58">
      <c r="A58" t="inlineStr">
        <is>
          <t>prime_fb</t>
        </is>
      </c>
      <c r="B58" s="7" t="inlineStr">
        <is>
          <t>https://www.facebook.com/p/Prime-Beauty-Lounge-62-61557054604045/</t>
        </is>
      </c>
    </row>
    <row r="59">
      <c r="A59" t="inlineStr">
        <is>
          <t>palazzo</t>
        </is>
      </c>
      <c r="B59" s="7" t="inlineStr">
        <is>
          <t>https://www.telelistas.net/locais/go/goiania/cabeleireiros+e+institutos+de+beleza/bu-189819/palazzo+santana+em+parque+amazonia</t>
        </is>
      </c>
    </row>
    <row r="60">
      <c r="A60" t="inlineStr">
        <is>
          <t>dgburger_rappi</t>
        </is>
      </c>
      <c r="B60" s="7" t="inlineStr">
        <is>
          <t>https://www.rappi.com.br/restaurantes/900689410-dg-burger-parque-amazonia</t>
        </is>
      </c>
    </row>
    <row r="61">
      <c r="A61" t="inlineStr">
        <is>
          <t>pose_trinks</t>
        </is>
      </c>
      <c r="B61" s="7" t="inlineStr">
        <is>
          <t>https://www.trinks.com/pose-buriti-shopping</t>
        </is>
      </c>
    </row>
    <row r="62">
      <c r="A62" t="inlineStr">
        <is>
          <t>santabarba_trinks</t>
        </is>
      </c>
      <c r="B62" s="7" t="inlineStr">
        <is>
          <t>https://www.trinks.com/santa-barba</t>
        </is>
      </c>
    </row>
    <row r="63">
      <c r="A63" t="inlineStr">
        <is>
          <t>econodata_barbearia_apg</t>
        </is>
      </c>
      <c r="B63" s="7" t="inlineStr">
        <is>
          <t>https://www.econodata.com.br/empresas/go-aparecida-de-goiania/busca-barbearia</t>
        </is>
      </c>
    </row>
    <row r="64">
      <c r="A64" t="inlineStr">
        <is>
          <t>danielschool_trinks</t>
        </is>
      </c>
      <c r="B64" s="7" t="inlineStr">
        <is>
          <t>https://www.trinks.com/barbearia-daniel-school</t>
        </is>
      </c>
    </row>
    <row r="65">
      <c r="A65" t="inlineStr">
        <is>
          <t>poliana_trinks</t>
        </is>
      </c>
      <c r="B65" s="7" t="inlineStr">
        <is>
          <t>https://www.trinks.com/studio-poliana-maia</t>
        </is>
      </c>
    </row>
    <row r="66">
      <c r="A66" t="inlineStr">
        <is>
          <t>criativa</t>
        </is>
      </c>
      <c r="B66" s="7" t="inlineStr">
        <is>
          <t>https://criativapapelariabolsas.com.br/localizacao/</t>
        </is>
      </c>
    </row>
    <row r="67">
      <c r="A67" t="inlineStr">
        <is>
          <t>biglar</t>
        </is>
      </c>
      <c r="B67" s="7" t="inlineStr">
        <is>
          <t>https://www.biglarutilidades.com.br/nossas-lojas</t>
        </is>
      </c>
    </row>
    <row r="68">
      <c r="A68" t="inlineStr">
        <is>
          <t>acai_tripadvisor</t>
        </is>
      </c>
      <c r="B68" s="7" t="inlineStr">
        <is>
          <t>https://www.tripadvisor.com/Restaurant_Review-g2342764-d11910781-Reviews-Acai_Express_Garavelo-Aparecida_De_Goiania_State_of_Goias.html</t>
        </is>
      </c>
    </row>
    <row r="69">
      <c r="A69" t="inlineStr">
        <is>
          <t>acai_cardapio</t>
        </is>
      </c>
      <c r="B69" s="7" t="inlineStr">
        <is>
          <t>https://cardapio.menu/restaurants/aparecida-de-goiania/acai-express-garavelo</t>
        </is>
      </c>
    </row>
    <row r="70">
      <c r="A70" t="inlineStr">
        <is>
          <t>mecmilk</t>
        </is>
      </c>
      <c r="B70" s="7" t="inlineStr">
        <is>
          <t>https://www.sluurpy.com.br/aparecida-de-goi%C3%A2nia/restaurante/1433161/sorveteria-mec-milk</t>
        </is>
      </c>
    </row>
    <row r="71">
      <c r="A71" t="inlineStr">
        <is>
          <t>cacaushow_ta</t>
        </is>
      </c>
      <c r="B71" s="7" t="inlineStr">
        <is>
          <t>https://www.tripadvisor.com/Restaurant_Review-g2342764-d4538135-Reviews-Cacau_Show-Aparecida_De_Goiania_State_of_Goias.html</t>
        </is>
      </c>
    </row>
    <row r="72">
      <c r="A72" t="inlineStr">
        <is>
          <t>garavelo_rest</t>
        </is>
      </c>
      <c r="B72" s="7" t="inlineStr">
        <is>
          <t>https://www.diariocidade.com/go/aparecida-de-goiania/guia/garavelo-restaurante-07603671000196/</t>
        </is>
      </c>
    </row>
    <row r="73">
      <c r="A73" t="inlineStr">
        <is>
          <t>solutudo_rest_apg</t>
        </is>
      </c>
      <c r="B73" s="7" t="inlineStr">
        <is>
          <t>https://www.solutudo.com.br/empresas/go/aparecida-goiania/restaurantes</t>
        </is>
      </c>
    </row>
    <row r="74">
      <c r="A74" t="inlineStr">
        <is>
          <t>infoisinfo_rest_apg</t>
        </is>
      </c>
      <c r="B74" s="7" t="inlineStr">
        <is>
          <t>https://aparecida-de-goiania.infoisinfo-br.com/busca/restaurante</t>
        </is>
      </c>
    </row>
    <row r="75">
      <c r="A75" t="inlineStr">
        <is>
          <t>diretoriobrasil_apg</t>
        </is>
      </c>
      <c r="B75" s="7" t="inlineStr">
        <is>
          <t>https://diretoriobrasil.net/lista/?atv=s&amp;c=9227&amp;e=9&amp;g=56112&amp;p=11&amp;sigla=go</t>
        </is>
      </c>
    </row>
    <row r="76">
      <c r="A76" t="inlineStr">
        <is>
          <t>telelistas_rest_garavelo</t>
        </is>
      </c>
      <c r="B76" s="7" t="inlineStr">
        <is>
          <t>https://www.telelistas.net/go/aparecida+de+goiania/em+setor+garavelo/restaurantes</t>
        </is>
      </c>
    </row>
    <row r="77">
      <c r="A77" t="inlineStr">
        <is>
          <t>booksy_barb_apg</t>
        </is>
      </c>
      <c r="B77" s="7" t="inlineStr">
        <is>
          <t>https://booksy.com/pt-br/s/barbearias/386151_aparecida-de-goiania</t>
        </is>
      </c>
    </row>
    <row r="78">
      <c r="A78" t="inlineStr">
        <is>
          <t>gt_pet_apg</t>
        </is>
      </c>
      <c r="B78" s="7" t="inlineStr">
        <is>
          <t>https://www.guiatelefone.com/empresas/aparecida-de-goiania-go/servicos-para-animais/pet-shop</t>
        </is>
      </c>
    </row>
    <row r="79">
      <c r="A79" t="inlineStr">
        <is>
          <t>faro_econodata</t>
        </is>
      </c>
      <c r="B79" s="7" t="inlineStr">
        <is>
          <t>https://www.econodata.com.br/consulta-empresa/34248620000166-clinica-veterinaria-faro-ltda</t>
        </is>
      </c>
    </row>
    <row r="80">
      <c r="A80" t="inlineStr">
        <is>
          <t>faro_telelistas</t>
        </is>
      </c>
      <c r="B80" s="7" t="inlineStr">
        <is>
          <t>https://www.telelistas.net/locais/go/aparecida+de+goiania/clinicas+e+hospitais+veterinarios/bu-5047527/clinica+veterinaria+faro+em+setor+garavelo</t>
        </is>
      </c>
    </row>
    <row r="81">
      <c r="A81" t="inlineStr">
        <is>
          <t>solutudo_vet_apg</t>
        </is>
      </c>
      <c r="B81" s="7" t="inlineStr">
        <is>
          <t>https://www.solutudo.com.br/empresas/go/aparecida-goiania/clinicas+veterinarias</t>
        </is>
      </c>
    </row>
    <row r="82">
      <c r="A82" t="inlineStr">
        <is>
          <t>animalandia</t>
        </is>
      </c>
      <c r="B82" s="7" t="inlineStr">
        <is>
          <t>https://petshoppertodemim.com/e/animalandia-pet-shop-atkiqw/</t>
        </is>
      </c>
    </row>
    <row r="83">
      <c r="A83" t="inlineStr">
        <is>
          <t>mbi_pet</t>
        </is>
      </c>
      <c r="B83" s="7" t="inlineStr">
        <is>
          <t>https://setor-garavelo-go.mybrazilinfo.com/pet-store/</t>
        </is>
      </c>
    </row>
    <row r="84">
      <c r="A84" t="inlineStr">
        <is>
          <t>mbi_sorridents</t>
        </is>
      </c>
      <c r="B84" s="7" t="inlineStr">
        <is>
          <t>https://setor-garavelo-go.mybrazilinfo.com/sorridents-garavelo/</t>
        </is>
      </c>
    </row>
    <row r="85">
      <c r="A85" t="inlineStr">
        <is>
          <t>mbi_drogalu</t>
        </is>
      </c>
      <c r="B85" s="7" t="inlineStr">
        <is>
          <t>https://setor-garavelo-go.mybrazilinfo.com/drogaria-drogalu/</t>
        </is>
      </c>
    </row>
    <row r="86">
      <c r="A86" t="inlineStr">
        <is>
          <t>mbi_iso</t>
        </is>
      </c>
      <c r="B86" s="7" t="inlineStr">
        <is>
          <t>https://setor-garavelo-go.mybrazilinfo.com/iso-clinica-unidade-garavelo/</t>
        </is>
      </c>
    </row>
    <row r="87">
      <c r="A87" t="inlineStr">
        <is>
          <t>mbi_utramed</t>
        </is>
      </c>
      <c r="B87" s="7" t="inlineStr">
        <is>
          <t>https://setor-garavelo-go.mybrazilinfo.com/utramed-clinica-medica/</t>
        </is>
      </c>
    </row>
    <row r="88">
      <c r="A88" t="inlineStr">
        <is>
          <t>mbi_isodonto_cais</t>
        </is>
      </c>
      <c r="B88" s="7" t="inlineStr">
        <is>
          <t>https://setor-garavelo-go.mybrazilinfo.com/isodonto-cais/</t>
        </is>
      </c>
    </row>
    <row r="89">
      <c r="A89" t="inlineStr">
        <is>
          <t>mbi_isodonto_ig</t>
        </is>
      </c>
      <c r="B89" s="7" t="inlineStr">
        <is>
          <t>https://setor-garavelo-go.mybrazilinfo.com/isodonto-avenida-igualdade/</t>
        </is>
      </c>
    </row>
    <row r="90">
      <c r="A90" t="inlineStr">
        <is>
          <t>mbi_dratende</t>
        </is>
      </c>
      <c r="B90" s="7" t="inlineStr">
        <is>
          <t>https://setor-garavelo-residencial-park-go.mybrazilinfo.com/dr-atende-ja-clinica-popular/</t>
        </is>
      </c>
    </row>
    <row r="91">
      <c r="A91" t="inlineStr">
        <is>
          <t>casadosdados_vst</t>
        </is>
      </c>
      <c r="B91" s="7" t="inlineStr">
        <is>
          <t>https://casadosdados.com.br/solucao/cep/go/aparecida-de-goiania/vila-sao-tomaz/avenida-rio-verde-sn-quadra-102-104-buriti-shopping-74915906</t>
        </is>
      </c>
    </row>
    <row r="92">
      <c r="A92" t="inlineStr">
        <is>
          <t>paraiso_apontador</t>
        </is>
      </c>
      <c r="B92" s="7" t="inlineStr">
        <is>
          <t>https://www.apontador.com.br/local/go/aparecida_de_goiania/cosmeticos/38J89J37/paraiso_dos_cosmeticos_s_garavelo.html</t>
        </is>
      </c>
    </row>
    <row r="93">
      <c r="A93" t="inlineStr">
        <is>
          <t>allure_trinks</t>
        </is>
      </c>
      <c r="B93" s="7" t="inlineStr">
        <is>
          <t>https://www.trinks.com/allure-nails-01</t>
        </is>
      </c>
    </row>
    <row r="94">
      <c r="A94" t="inlineStr">
        <is>
          <t>listatudo_saude</t>
        </is>
      </c>
      <c r="B94" s="7" t="inlineStr">
        <is>
          <t>https://listatudo.com.br/parque-amazonia-goiania/hospitais-e-clinicas-medicina-e-saude/</t>
        </is>
      </c>
    </row>
    <row r="95">
      <c r="A95" t="inlineStr">
        <is>
          <t>delegacia_pcgo</t>
        </is>
      </c>
      <c r="B95" s="7" t="inlineStr">
        <is>
          <t>https://goias.gov.br/policiacivil/wp-content/uploads/sites/71/2025/03/planilha-enderecos-e-postos-atualizada-2eca40fc90a0423c92d618d0de313cdb.pdf</t>
        </is>
      </c>
    </row>
    <row r="96">
      <c r="A96" t="inlineStr">
        <is>
          <t>uber_goiania</t>
        </is>
      </c>
      <c r="B96" s="7" t="inlineStr">
        <is>
          <t>https://www.uber.com/br/pt-br/r/cities/taxi/goiania-go-br/</t>
        </is>
      </c>
    </row>
    <row r="97">
      <c r="A97" t="inlineStr">
        <is>
          <t>uber_blog_aparecida</t>
        </is>
      </c>
      <c r="B97" s="7" t="inlineStr">
        <is>
          <t>https://www.uber.com/pt-BR/blog/goiania/aparecida-goiania-lancamento-uber</t>
        </is>
      </c>
    </row>
    <row r="98">
      <c r="A98" t="inlineStr">
        <is>
          <t>portal6_uber</t>
        </is>
      </c>
      <c r="B98" s="7" t="inlineStr">
        <is>
          <t>https://portal6.com.br/2025/06/20/morador-se-surpreende-com-diferenca-de-precos-entre-uber-e-99-para-o-mesmo-destino-em-goiania/</t>
        </is>
      </c>
    </row>
    <row r="99">
      <c r="A99" t="inlineStr">
        <is>
          <t>moovit_garavelo</t>
        </is>
      </c>
      <c r="B99" s="7" t="inlineStr">
        <is>
          <t>https://moovitapp.com/index/en/public_transit-Setor_Garavelo-Goiania-site_18075751-1482</t>
        </is>
      </c>
    </row>
    <row r="100">
      <c r="A100" t="inlineStr">
        <is>
          <t>turismo_go_aparecida</t>
        </is>
      </c>
      <c r="B100" s="7" t="inlineStr">
        <is>
          <t>https://goias.gov.br/turismo/aparecida-de-goiania/</t>
        </is>
      </c>
    </row>
    <row r="101">
      <c r="A101" t="inlineStr">
        <is>
          <t>curtamais_aparecida</t>
        </is>
      </c>
      <c r="B101" s="7" t="inlineStr">
        <is>
          <t>https://curtamais.com.br/goiania/lugares-e-turistar-em-aparecida/</t>
        </is>
      </c>
    </row>
    <row r="102">
      <c r="A102" t="inlineStr">
        <is>
          <t>ruas_pq_amazonia_cep</t>
        </is>
      </c>
      <c r="B102" s="7" t="inlineStr">
        <is>
          <t>https://cepbrasil.org/goias/goiania/parque-amazonia/74835970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2026-10-27T04:14:12Z</dcterms:created>
  <dcterms:modified xmlns:dcterms="http://purl.org/dc/terms/" xmlns:xsi="http://www.w3.org/2001/XMLSchema-instance" xsi:type="dcterms:W3CDTF">2026-10-27T04:14:12Z</dcterms:modified>
</cp:coreProperties>
</file>